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mc:AlternateContent xmlns:mc="http://schemas.openxmlformats.org/markup-compatibility/2006">
    <mc:Choice Requires="x15">
      <x15ac:absPath xmlns:x15ac="http://schemas.microsoft.com/office/spreadsheetml/2010/11/ac" url="D:\JigarModi_SharedFolder\Hanwha\"/>
    </mc:Choice>
  </mc:AlternateContent>
  <xr:revisionPtr revIDLastSave="0" documentId="13_ncr:1_{76C2267B-0179-401E-A756-8291039C3AE0}" xr6:coauthVersionLast="47" xr6:coauthVersionMax="47" xr10:uidLastSave="{00000000-0000-0000-0000-000000000000}"/>
  <bookViews>
    <workbookView xWindow="-120" yWindow="-120" windowWidth="29040" windowHeight="15720" activeTab="1" xr2:uid="{00000000-000D-0000-FFFF-FFFF00000000}"/>
  </bookViews>
  <sheets>
    <sheet name="Combined Efforts" sheetId="2" r:id="rId1"/>
    <sheet name="Feature Listing" sheetId="1" r:id="rId2"/>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03" i="1" l="1"/>
  <c r="E17" i="2"/>
  <c r="G6" i="2"/>
  <c r="E3" i="2"/>
  <c r="E2" i="2"/>
  <c r="H103" i="1"/>
  <c r="E103" i="1"/>
  <c r="F6" i="2" l="1"/>
  <c r="E6" i="2" s="1"/>
  <c r="E14" i="2" l="1"/>
  <c r="E13" i="2"/>
  <c r="E12" i="2"/>
  <c r="E11" i="2"/>
  <c r="E10" i="2"/>
  <c r="E9" i="2"/>
  <c r="E8" i="2"/>
  <c r="E16" i="2" l="1"/>
  <c r="E18" i="2" s="1"/>
  <c r="E21" i="2" s="1"/>
</calcChain>
</file>

<file path=xl/sharedStrings.xml><?xml version="1.0" encoding="utf-8"?>
<sst xmlns="http://schemas.openxmlformats.org/spreadsheetml/2006/main" count="102" uniqueCount="94">
  <si>
    <t>Development + Unit testing</t>
  </si>
  <si>
    <t>Comment/Query</t>
  </si>
  <si>
    <t>Sr No</t>
  </si>
  <si>
    <t>Main - Features</t>
  </si>
  <si>
    <t>Sub - Features</t>
  </si>
  <si>
    <t>Combined</t>
  </si>
  <si>
    <t>Front-end</t>
  </si>
  <si>
    <t>Back-end</t>
  </si>
  <si>
    <t>Total combined efforts</t>
  </si>
  <si>
    <t>Sr.No</t>
  </si>
  <si>
    <t>Application Name</t>
  </si>
  <si>
    <t>Combined Efforts</t>
  </si>
  <si>
    <t>Other Phases</t>
  </si>
  <si>
    <t>% Attribution</t>
  </si>
  <si>
    <t>Project management</t>
  </si>
  <si>
    <t>Business Analysis</t>
  </si>
  <si>
    <t>Technical Design( Web+ Mobile)</t>
  </si>
  <si>
    <t>UI Design &amp; Development Support</t>
  </si>
  <si>
    <t>Documentation</t>
  </si>
  <si>
    <t>QA Testing</t>
  </si>
  <si>
    <t>Implementation &amp; Support- WEB</t>
  </si>
  <si>
    <t>Total Estimation (Hours)</t>
  </si>
  <si>
    <t>30 day warranty post Go Live</t>
  </si>
  <si>
    <t>Grand Total Estimation (Hours)</t>
  </si>
  <si>
    <t>USD Cost / Hour</t>
  </si>
  <si>
    <t>Total Cost (USD)</t>
  </si>
  <si>
    <t>Cost Estimation &amp; Feature Listing for Phase - 2 Development in Hanwha BI Dashboard Web Application</t>
  </si>
  <si>
    <t>BI Dashboard Web Application</t>
  </si>
  <si>
    <t>Collect the data from camera if camera disconnected from application,</t>
  </si>
  <si>
    <t>Collect the data from camera if camera disconnected from application, during disconnection time data should fetch to the app. Once the camera is connected back, the API will be called and the data is to be ingested for the time when the camera was not connected/offline.</t>
  </si>
  <si>
    <t>Floor plan widget: Solve UI issue of multiple camera count data overlapping if placed nearby</t>
  </si>
  <si>
    <t>In floor plan widget, if the camera are nearby, then the count is overlapping and it is difficult to view the count of the camera. As a solution, show the count on hover/selection of camera. On hover/selection, display the count on top of other camera.</t>
  </si>
  <si>
    <t>Floor plan to stretch the MAP</t>
  </si>
  <si>
    <t>Allow user to move the map across the screen with zoom in and zoom out also increase the dot size for camera focal rotation. Give option to view floor plan and map in full screen.</t>
  </si>
  <si>
    <t>Database Limit setting - Retention period, archive option should available.</t>
  </si>
  <si>
    <t>Database configured on separate server machine</t>
  </si>
  <si>
    <t>Currently, the database is installed on the same server where the application is installed. Now, give option to install database in separate drive of same server or separate server, connected via LAN and connect the database from that server in the application. In the application installer file, give option to select separate database server location.</t>
  </si>
  <si>
    <t>Database Auto Backup</t>
  </si>
  <si>
    <t>Auto back up of database should be done at a specific time of day. Give option in General Configuration Setting to enter the location of separate server where the backup file of database will be stored. Keep backup files of last 7 days and delete old backup files.</t>
  </si>
  <si>
    <t>Audit Log</t>
  </si>
  <si>
    <t>Provide feature/screen to view audit log of the application. Provide feature to send log details as email to technical team.</t>
  </si>
  <si>
    <t>Occupancy - Average occupancy rate</t>
  </si>
  <si>
    <t>UI modifications in Capacity Utilization Widget. If the utilization is more than the defined capacity, show in red color backgroud or give some blinking effect.</t>
  </si>
  <si>
    <t>New Widget for API Working/Not Working Camera</t>
  </si>
  <si>
    <t>Develop a new widget that displays the count of cameras which has API working/ not working.</t>
  </si>
  <si>
    <t>Selection of API type while adding camera</t>
  </si>
  <si>
    <t>In Manage Devices, when a camera is added, give option to select the type of API supported by the camera. Because, new cameras of old series are supporting different type of APIs.</t>
  </si>
  <si>
    <t>Time Format selection</t>
  </si>
  <si>
    <t>The time format selection in the General Configuration Setting should be applied throughout the application, even in the reports. The time format change should reflect on the screen without manual refreshing of the screen.</t>
  </si>
  <si>
    <t>Multichannel Camera</t>
  </si>
  <si>
    <t>In Manage Device screen, add new type of "Multichannel" camera. Give textbox to enter the number of channels supported by the camera. Usually it will be between 2 to 5 channels.
Multichannel camera will have separate APIs, details of which will be provided by Bala.</t>
  </si>
  <si>
    <t>Collabsible Menu (UI improvement)</t>
  </si>
  <si>
    <t>Left side menu should be collapsible so as to have full utilization of the screen.</t>
  </si>
  <si>
    <t>Multi-lingual support</t>
  </si>
  <si>
    <t>Make the application multi-lingual with below mentioned languages supported:
Arabic
Korean
French
Mandarin (Chinese)
German
Spanish
Italian
Danish (Denmark)
Russian</t>
  </si>
  <si>
    <t>Mobile Responsiveness</t>
  </si>
  <si>
    <t>The application should be mobile responsive, supporting on tablet/iPad/mobile.</t>
  </si>
  <si>
    <t>UI Themes</t>
  </si>
  <si>
    <t>Give option to view the application in 8 more themes.</t>
  </si>
  <si>
    <t>People In/Out Report</t>
  </si>
  <si>
    <t>In the People In/Out report, show the difference of In/Out hourly, not showing it as adding up total every hour.</t>
  </si>
  <si>
    <t>Report Changes</t>
  </si>
  <si>
    <t>In the Report filter, give custom option to user to select Start Date and End Date.
In the Result, give custom option to user to select the time gap for which the report needs to be shown, like 5 Min, 10 Min, 15 Min, 30 Min, 1 Hr, 2 Hr., etc.</t>
  </si>
  <si>
    <t>Generative AI</t>
  </si>
  <si>
    <t>Implementation of Generative AI in the application.</t>
  </si>
  <si>
    <t>People In/Out Report Modification</t>
  </si>
  <si>
    <t>While exporting the In/Out report to PDF, both In and Out should be shown. Currently it is only showing either In or Out, based on what is visible on the screen.</t>
  </si>
  <si>
    <t>Widgets design modification</t>
  </si>
  <si>
    <t>Few widgets are looking similar. Identify and propose different design for these widgets.</t>
  </si>
  <si>
    <t>Widget Resize</t>
  </si>
  <si>
    <t>Give option to resize the widget. Also, give option to view the widgets in full screen view.</t>
  </si>
  <si>
    <t>ANPR API Integration</t>
  </si>
  <si>
    <t>Automatic Number Plate Recognition
Number plate field list to be obtained by calling the API. Bala to provide the API.
Add new widget in traffic showing parking slots are Available or Not Available. If Parking Slots are full, show Parking full.
Add Parking slots field in Zone creation.</t>
  </si>
  <si>
    <t>SSM Dashboard in Vision Insight</t>
  </si>
  <si>
    <t>SSM Dashboard to be integrated in Vision Insight. API and further details will be given and discussed by Bala.</t>
  </si>
  <si>
    <t>Manage Devices - Export to Excel</t>
  </si>
  <si>
    <t>Give export to csv feature in Manage Devices screen.</t>
  </si>
  <si>
    <t>Failover plan</t>
  </si>
  <si>
    <t>System failover plan</t>
  </si>
  <si>
    <t>Widget UI format</t>
  </si>
  <si>
    <t>BI Dashboard Web Application Phase 4 Enhancements</t>
  </si>
  <si>
    <t>Considering floorplan and maping of unmapped device list in the full screen.</t>
  </si>
  <si>
    <t>TBD</t>
  </si>
  <si>
    <t>R&amp;D to be done to install on septate machine</t>
  </si>
  <si>
    <t>TBD R&amp;D</t>
  </si>
  <si>
    <t>Implemented as per email from Bala</t>
  </si>
  <si>
    <t>Need to check provied API by Multichannel camera</t>
  </si>
  <si>
    <t>TBD - RTL</t>
  </si>
  <si>
    <t>Implementation in MyReports page</t>
  </si>
  <si>
    <t>`- MyReports we will add In/Out data 
 - Export PDF from dashboard, need to show people widget twice, one with In and another with Out
 - Same changes will be applicable in Vehicle and Vehicle by Types widget</t>
  </si>
  <si>
    <t>TBD - As of now we had just decided automatic backup</t>
  </si>
  <si>
    <t>ZABBIX Integration</t>
  </si>
  <si>
    <t>R&amp;D</t>
  </si>
  <si>
    <t>User should be able to expand the widget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</si>
</sst>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Calibri"/>
      <family val="2"/>
      <scheme val="minor"/>
    </font>
    <font>
      <sz val="11"/>
      <color rgb="FF006100"/>
      <name val="Calibri"/>
      <family val="2"/>
      <scheme val="minor"/>
    </font>
    <font>
      <sz val="11"/>
      <color rgb="FF000000"/>
      <name val="Calibri"/>
      <family val="2"/>
      <charset val="1"/>
    </font>
    <font>
      <b/>
      <sz val="20"/>
      <name val="Calibri"/>
      <family val="2"/>
      <charset val="1"/>
    </font>
    <font>
      <b/>
      <sz val="11"/>
      <color rgb="FF000000"/>
      <name val="Calibri"/>
      <family val="2"/>
      <charset val="1"/>
    </font>
    <font>
      <sz val="11"/>
      <name val="Calibri"/>
      <family val="2"/>
      <charset val="1"/>
    </font>
    <font>
      <b/>
      <sz val="14"/>
      <name val="Calibri"/>
      <family val="2"/>
      <charset val="1"/>
    </font>
    <font>
      <sz val="11"/>
      <color rgb="FF000000"/>
      <name val="Calibri"/>
      <family val="2"/>
    </font>
    <font>
      <b/>
      <sz val="14"/>
      <name val="Calibri"/>
      <family val="2"/>
      <scheme val="minor"/>
    </font>
    <font>
      <sz val="11"/>
      <name val="Calibri"/>
      <family val="2"/>
      <scheme val="minor"/>
    </font>
    <font>
      <sz val="11"/>
      <color rgb="FF000000"/>
      <name val="Calibri"/>
      <family val="2"/>
      <scheme val="minor"/>
    </font>
    <font>
      <sz val="11"/>
      <color theme="1"/>
      <name val="Calibri"/>
      <family val="2"/>
      <charset val="1"/>
    </font>
    <font>
      <b/>
      <sz val="12"/>
      <color rgb="FF006100"/>
      <name val="Calibri"/>
      <family val="2"/>
      <scheme val="minor"/>
    </font>
    <font>
      <b/>
      <sz val="12"/>
      <color rgb="FF000000"/>
      <name val="Calibri"/>
      <family val="2"/>
    </font>
    <font>
      <b/>
      <sz val="11"/>
      <color rgb="FFFFFFFF"/>
      <name val="Calibri"/>
      <family val="2"/>
      <charset val="1"/>
    </font>
    <font>
      <sz val="11"/>
      <color rgb="FFFFFFFF"/>
      <name val="Calibri"/>
      <family val="2"/>
      <charset val="1"/>
    </font>
  </fonts>
  <fills count="21">
    <fill>
      <patternFill patternType="none"/>
    </fill>
    <fill>
      <patternFill patternType="gray125"/>
    </fill>
    <fill>
      <patternFill patternType="solid">
        <fgColor rgb="FFC6EFCE"/>
      </patternFill>
    </fill>
    <fill>
      <patternFill patternType="solid">
        <fgColor rgb="FF000000"/>
        <bgColor rgb="FF003300"/>
      </patternFill>
    </fill>
    <fill>
      <patternFill patternType="solid">
        <fgColor rgb="FF9DC3E6"/>
        <bgColor rgb="FFC0C0C0"/>
      </patternFill>
    </fill>
    <fill>
      <patternFill patternType="solid">
        <fgColor rgb="FF00FFFF"/>
        <bgColor rgb="FF00FFFF"/>
      </patternFill>
    </fill>
    <fill>
      <patternFill patternType="solid">
        <fgColor rgb="FF5B9BD5"/>
        <bgColor rgb="FF969696"/>
      </patternFill>
    </fill>
    <fill>
      <patternFill patternType="solid">
        <fgColor rgb="FF5B9BD5"/>
        <bgColor rgb="FF4F81BD"/>
      </patternFill>
    </fill>
    <fill>
      <patternFill patternType="solid">
        <fgColor rgb="FFDEEBF7"/>
        <bgColor rgb="FFCCFFFF"/>
      </patternFill>
    </fill>
    <fill>
      <patternFill patternType="solid">
        <fgColor rgb="FFFFFFFF"/>
        <bgColor rgb="FFFFFFCC"/>
      </patternFill>
    </fill>
    <fill>
      <patternFill patternType="solid">
        <fgColor theme="0"/>
        <bgColor indexed="64"/>
      </patternFill>
    </fill>
    <fill>
      <patternFill patternType="solid">
        <fgColor rgb="FFFFFFFF"/>
        <bgColor indexed="64"/>
      </patternFill>
    </fill>
    <fill>
      <patternFill patternType="solid">
        <fgColor theme="9"/>
        <bgColor rgb="FFFFFFCC"/>
      </patternFill>
    </fill>
    <fill>
      <patternFill patternType="solid">
        <fgColor theme="1"/>
        <bgColor indexed="64"/>
      </patternFill>
    </fill>
    <fill>
      <patternFill patternType="solid">
        <fgColor rgb="FFC00000"/>
        <bgColor rgb="FFCC0000"/>
      </patternFill>
    </fill>
    <fill>
      <patternFill patternType="solid">
        <fgColor rgb="FF00FF00"/>
        <bgColor rgb="FF33CCCC"/>
      </patternFill>
    </fill>
    <fill>
      <patternFill patternType="solid">
        <fgColor rgb="FFC0C0C0"/>
        <bgColor rgb="FF9DC3E6"/>
      </patternFill>
    </fill>
    <fill>
      <patternFill patternType="solid">
        <fgColor rgb="FFFFFF00"/>
        <bgColor rgb="FFFFFF00"/>
      </patternFill>
    </fill>
    <fill>
      <patternFill patternType="solid">
        <fgColor rgb="FF808080"/>
        <bgColor rgb="FF969696"/>
      </patternFill>
    </fill>
    <fill>
      <patternFill patternType="solid">
        <fgColor rgb="FFFFFF00"/>
        <bgColor indexed="64"/>
      </patternFill>
    </fill>
    <fill>
      <patternFill patternType="solid">
        <fgColor rgb="FFFF0000"/>
        <bgColor indexed="64"/>
      </patternFill>
    </fill>
  </fills>
  <borders count="2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rgb="FF000000"/>
      </left>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right style="thin">
        <color rgb="FF000000"/>
      </right>
      <top style="thin">
        <color rgb="FF000000"/>
      </top>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style="thin">
        <color rgb="FF000000"/>
      </bottom>
      <diagonal/>
    </border>
    <border>
      <left/>
      <right style="thin">
        <color auto="1"/>
      </right>
      <top style="thin">
        <color auto="1"/>
      </top>
      <bottom/>
      <diagonal/>
    </border>
    <border>
      <left/>
      <right style="thin">
        <color auto="1"/>
      </right>
      <top/>
      <bottom style="thin">
        <color auto="1"/>
      </bottom>
      <diagonal/>
    </border>
  </borders>
  <cellStyleXfs count="4">
    <xf numFmtId="0" fontId="0" fillId="0" borderId="0"/>
    <xf numFmtId="0" fontId="1" fillId="2" borderId="0" applyNumberFormat="0" applyBorder="0" applyAlignment="0" applyProtection="0"/>
    <xf numFmtId="0" fontId="2" fillId="0" borderId="0"/>
    <xf numFmtId="0" fontId="7" fillId="0" borderId="0"/>
  </cellStyleXfs>
  <cellXfs count="164">
    <xf numFmtId="0" fontId="0" fillId="0" borderId="0" xfId="0"/>
    <xf numFmtId="0" fontId="2" fillId="3" borderId="3" xfId="2" applyFill="1" applyBorder="1" applyAlignment="1">
      <alignment vertical="top"/>
    </xf>
    <xf numFmtId="0" fontId="2" fillId="0" borderId="4" xfId="2" applyBorder="1" applyAlignment="1">
      <alignment vertical="top"/>
    </xf>
    <xf numFmtId="0" fontId="2" fillId="0" borderId="4" xfId="0" applyFont="1" applyBorder="1" applyAlignment="1">
      <alignment vertical="top"/>
    </xf>
    <xf numFmtId="0" fontId="0" fillId="0" borderId="0" xfId="0" applyAlignment="1">
      <alignment vertical="center"/>
    </xf>
    <xf numFmtId="0" fontId="4" fillId="3" borderId="1" xfId="2" applyFont="1" applyFill="1" applyBorder="1" applyAlignment="1">
      <alignment vertical="top"/>
    </xf>
    <xf numFmtId="0" fontId="2" fillId="0" borderId="1" xfId="0" applyFont="1" applyBorder="1" applyAlignment="1">
      <alignment vertical="top"/>
    </xf>
    <xf numFmtId="0" fontId="2" fillId="0" borderId="1" xfId="0" applyFont="1" applyBorder="1" applyAlignment="1">
      <alignment vertical="center"/>
    </xf>
    <xf numFmtId="0" fontId="5" fillId="0" borderId="5" xfId="0" applyFont="1" applyBorder="1" applyAlignment="1">
      <alignment vertical="top"/>
    </xf>
    <xf numFmtId="0" fontId="4" fillId="5" borderId="4" xfId="2" applyFont="1" applyFill="1" applyBorder="1" applyAlignment="1">
      <alignment vertical="top"/>
    </xf>
    <xf numFmtId="0" fontId="2" fillId="3" borderId="1" xfId="2" applyFill="1" applyBorder="1" applyAlignment="1">
      <alignment vertical="top"/>
    </xf>
    <xf numFmtId="0" fontId="6" fillId="6" borderId="1" xfId="2" applyFont="1" applyFill="1" applyBorder="1" applyAlignment="1">
      <alignment horizontal="center" vertical="top"/>
    </xf>
    <xf numFmtId="0" fontId="8" fillId="7" borderId="4" xfId="3" applyFont="1" applyFill="1" applyBorder="1" applyAlignment="1">
      <alignment horizontal="center" vertical="top"/>
    </xf>
    <xf numFmtId="0" fontId="6" fillId="6" borderId="5" xfId="2" applyFont="1" applyFill="1" applyBorder="1" applyAlignment="1">
      <alignment horizontal="center" vertical="top"/>
    </xf>
    <xf numFmtId="0" fontId="2" fillId="5" borderId="4" xfId="2" applyFill="1" applyBorder="1" applyAlignment="1">
      <alignment vertical="top"/>
    </xf>
    <xf numFmtId="0" fontId="5" fillId="9" borderId="1" xfId="2" applyFont="1" applyFill="1" applyBorder="1" applyAlignment="1">
      <alignment horizontal="center" vertical="center"/>
    </xf>
    <xf numFmtId="0" fontId="9" fillId="9" borderId="1" xfId="2" applyFont="1" applyFill="1" applyBorder="1" applyAlignment="1">
      <alignment vertical="center"/>
    </xf>
    <xf numFmtId="0" fontId="10" fillId="0" borderId="1" xfId="2" applyFont="1" applyBorder="1" applyAlignment="1">
      <alignment horizontal="left" vertical="center" wrapText="1"/>
    </xf>
    <xf numFmtId="0" fontId="11" fillId="10" borderId="11" xfId="2" applyFont="1" applyFill="1" applyBorder="1" applyAlignment="1">
      <alignment horizontal="center" vertical="center"/>
    </xf>
    <xf numFmtId="0" fontId="11" fillId="10" borderId="4" xfId="2" applyFont="1" applyFill="1" applyBorder="1" applyAlignment="1">
      <alignment horizontal="center" vertical="center"/>
    </xf>
    <xf numFmtId="0" fontId="2" fillId="10" borderId="12" xfId="2" applyFill="1" applyBorder="1" applyAlignment="1">
      <alignment vertical="top" wrapText="1"/>
    </xf>
    <xf numFmtId="1" fontId="2" fillId="0" borderId="4" xfId="2" applyNumberFormat="1" applyBorder="1" applyAlignment="1">
      <alignment vertical="top"/>
    </xf>
    <xf numFmtId="0" fontId="2" fillId="3" borderId="5" xfId="2" applyFill="1" applyBorder="1" applyAlignment="1">
      <alignment vertical="top"/>
    </xf>
    <xf numFmtId="0" fontId="5" fillId="9" borderId="2" xfId="2" applyFont="1" applyFill="1" applyBorder="1" applyAlignment="1">
      <alignment horizontal="center" vertical="center"/>
    </xf>
    <xf numFmtId="0" fontId="9" fillId="9" borderId="13" xfId="2" applyFont="1" applyFill="1" applyBorder="1" applyAlignment="1">
      <alignment vertical="center"/>
    </xf>
    <xf numFmtId="0" fontId="10" fillId="0" borderId="1" xfId="0" applyFont="1" applyBorder="1" applyAlignment="1">
      <alignment horizontal="left" vertical="center" wrapText="1"/>
    </xf>
    <xf numFmtId="0" fontId="11" fillId="10" borderId="5" xfId="2" applyFont="1" applyFill="1" applyBorder="1" applyAlignment="1">
      <alignment horizontal="center" vertical="center"/>
    </xf>
    <xf numFmtId="0" fontId="11" fillId="10" borderId="14" xfId="2" applyFont="1" applyFill="1" applyBorder="1" applyAlignment="1">
      <alignment horizontal="center" vertical="center"/>
    </xf>
    <xf numFmtId="0" fontId="2" fillId="10" borderId="15" xfId="2" applyFill="1" applyBorder="1" applyAlignment="1">
      <alignment vertical="top"/>
    </xf>
    <xf numFmtId="0" fontId="10" fillId="0" borderId="13" xfId="0" applyFont="1" applyBorder="1" applyAlignment="1">
      <alignment horizontal="left" vertical="center" wrapText="1"/>
    </xf>
    <xf numFmtId="0" fontId="11" fillId="10" borderId="16" xfId="2" applyFont="1" applyFill="1" applyBorder="1" applyAlignment="1">
      <alignment horizontal="center" vertical="center"/>
    </xf>
    <xf numFmtId="0" fontId="11" fillId="10" borderId="17" xfId="2" applyFont="1" applyFill="1" applyBorder="1" applyAlignment="1">
      <alignment horizontal="center" vertical="center"/>
    </xf>
    <xf numFmtId="0" fontId="2" fillId="10" borderId="13" xfId="2" applyFill="1" applyBorder="1" applyAlignment="1">
      <alignment vertical="top"/>
    </xf>
    <xf numFmtId="0" fontId="5" fillId="9" borderId="16" xfId="2" applyFont="1" applyFill="1" applyBorder="1" applyAlignment="1">
      <alignment horizontal="center" vertical="center"/>
    </xf>
    <xf numFmtId="0" fontId="9" fillId="9" borderId="4" xfId="2" applyFont="1" applyFill="1" applyBorder="1" applyAlignment="1">
      <alignment vertical="center"/>
    </xf>
    <xf numFmtId="0" fontId="11" fillId="10" borderId="6" xfId="2" applyFont="1" applyFill="1" applyBorder="1" applyAlignment="1">
      <alignment horizontal="center" vertical="center"/>
    </xf>
    <xf numFmtId="0" fontId="10" fillId="0" borderId="4" xfId="0" applyFont="1" applyBorder="1"/>
    <xf numFmtId="0" fontId="2" fillId="10" borderId="13" xfId="2" applyFill="1" applyBorder="1" applyAlignment="1">
      <alignment vertical="top" wrapText="1"/>
    </xf>
    <xf numFmtId="0" fontId="5" fillId="9" borderId="5" xfId="2" applyFont="1" applyFill="1" applyBorder="1" applyAlignment="1">
      <alignment horizontal="center" vertical="center"/>
    </xf>
    <xf numFmtId="0" fontId="10" fillId="0" borderId="4" xfId="0" applyFont="1" applyBorder="1" applyAlignment="1">
      <alignment vertical="center"/>
    </xf>
    <xf numFmtId="0" fontId="2" fillId="10" borderId="15" xfId="2" applyFill="1" applyBorder="1" applyAlignment="1">
      <alignment vertical="center" wrapText="1"/>
    </xf>
    <xf numFmtId="0" fontId="2" fillId="0" borderId="4" xfId="2" applyBorder="1" applyAlignment="1">
      <alignment horizontal="center" vertical="center"/>
    </xf>
    <xf numFmtId="0" fontId="5" fillId="9" borderId="4" xfId="2" applyFont="1" applyFill="1" applyBorder="1" applyAlignment="1">
      <alignment horizontal="center" vertical="center"/>
    </xf>
    <xf numFmtId="0" fontId="10" fillId="0" borderId="9" xfId="0" applyFont="1" applyBorder="1" applyAlignment="1">
      <alignment vertical="center"/>
    </xf>
    <xf numFmtId="0" fontId="10" fillId="0" borderId="12" xfId="0" applyFont="1" applyBorder="1" applyAlignment="1">
      <alignment horizontal="left" vertical="center" wrapText="1"/>
    </xf>
    <xf numFmtId="0" fontId="10" fillId="0" borderId="15" xfId="0" applyFont="1" applyBorder="1" applyAlignment="1">
      <alignment horizontal="left" vertical="center" wrapText="1"/>
    </xf>
    <xf numFmtId="0" fontId="5" fillId="9" borderId="4" xfId="2" applyFont="1" applyFill="1" applyBorder="1" applyAlignment="1">
      <alignment vertical="center"/>
    </xf>
    <xf numFmtId="0" fontId="5" fillId="9" borderId="18" xfId="2" applyFont="1" applyFill="1" applyBorder="1" applyAlignment="1">
      <alignment horizontal="center" vertical="center"/>
    </xf>
    <xf numFmtId="0" fontId="10" fillId="0" borderId="18" xfId="0" applyFont="1" applyBorder="1" applyAlignment="1">
      <alignment vertical="center"/>
    </xf>
    <xf numFmtId="0" fontId="10" fillId="0" borderId="0" xfId="0" applyFont="1" applyAlignment="1">
      <alignment wrapText="1"/>
    </xf>
    <xf numFmtId="0" fontId="7" fillId="9" borderId="3" xfId="2" applyFont="1" applyFill="1" applyBorder="1" applyAlignment="1">
      <alignment horizontal="center" vertical="center"/>
    </xf>
    <xf numFmtId="0" fontId="5" fillId="9" borderId="6" xfId="2" applyFont="1" applyFill="1" applyBorder="1" applyAlignment="1">
      <alignment vertical="center"/>
    </xf>
    <xf numFmtId="0" fontId="10" fillId="0" borderId="3" xfId="0" applyFont="1" applyBorder="1" applyAlignment="1">
      <alignment wrapText="1"/>
    </xf>
    <xf numFmtId="0" fontId="5" fillId="9" borderId="10" xfId="2" applyFont="1" applyFill="1" applyBorder="1" applyAlignment="1">
      <alignment horizontal="center" vertical="center"/>
    </xf>
    <xf numFmtId="0" fontId="10" fillId="0" borderId="19" xfId="0" applyFont="1" applyBorder="1" applyAlignment="1">
      <alignment horizontal="left" vertical="center" wrapText="1"/>
    </xf>
    <xf numFmtId="0" fontId="5" fillId="10" borderId="10" xfId="2" applyFont="1" applyFill="1" applyBorder="1" applyAlignment="1">
      <alignment horizontal="center" vertical="center"/>
    </xf>
    <xf numFmtId="0" fontId="10" fillId="10" borderId="6" xfId="0" applyFont="1" applyFill="1" applyBorder="1" applyAlignment="1">
      <alignment vertical="center"/>
    </xf>
    <xf numFmtId="0" fontId="0" fillId="0" borderId="4" xfId="0" applyBorder="1" applyAlignment="1">
      <alignment wrapText="1"/>
    </xf>
    <xf numFmtId="0" fontId="5" fillId="9" borderId="20" xfId="2" applyFont="1" applyFill="1" applyBorder="1" applyAlignment="1">
      <alignment horizontal="center" vertical="center"/>
    </xf>
    <xf numFmtId="0" fontId="10" fillId="0" borderId="10" xfId="0" applyFont="1" applyBorder="1" applyAlignment="1">
      <alignment vertical="center"/>
    </xf>
    <xf numFmtId="0" fontId="10" fillId="0" borderId="1" xfId="0" applyFont="1" applyBorder="1" applyAlignment="1">
      <alignment vertical="center" wrapText="1"/>
    </xf>
    <xf numFmtId="0" fontId="10" fillId="0" borderId="20" xfId="0" applyFont="1" applyBorder="1" applyAlignment="1">
      <alignment horizontal="left" vertical="center" wrapText="1"/>
    </xf>
    <xf numFmtId="0" fontId="10" fillId="0" borderId="1" xfId="0" applyFont="1" applyBorder="1" applyAlignment="1">
      <alignment vertical="center"/>
    </xf>
    <xf numFmtId="0" fontId="11" fillId="10" borderId="1" xfId="2" applyFont="1" applyFill="1" applyBorder="1" applyAlignment="1">
      <alignment horizontal="center" vertical="center"/>
    </xf>
    <xf numFmtId="0" fontId="10" fillId="11" borderId="2" xfId="0" quotePrefix="1" applyFont="1" applyFill="1" applyBorder="1" applyAlignment="1">
      <alignment horizontal="left" vertical="center" wrapText="1"/>
    </xf>
    <xf numFmtId="0" fontId="2" fillId="10" borderId="15" xfId="2" applyFill="1" applyBorder="1" applyAlignment="1">
      <alignment vertical="top" wrapText="1"/>
    </xf>
    <xf numFmtId="0" fontId="10" fillId="0" borderId="5" xfId="0" applyFont="1" applyBorder="1" applyAlignment="1">
      <alignment vertical="center"/>
    </xf>
    <xf numFmtId="0" fontId="11" fillId="10" borderId="15" xfId="2" applyFont="1" applyFill="1" applyBorder="1" applyAlignment="1">
      <alignment horizontal="center" vertical="center"/>
    </xf>
    <xf numFmtId="0" fontId="0" fillId="0" borderId="4" xfId="0" applyBorder="1" applyAlignment="1">
      <alignment vertical="top" wrapText="1"/>
    </xf>
    <xf numFmtId="0" fontId="2" fillId="3" borderId="16" xfId="2" applyFill="1" applyBorder="1" applyAlignment="1">
      <alignment vertical="top"/>
    </xf>
    <xf numFmtId="0" fontId="10" fillId="0" borderId="16" xfId="0" applyFont="1" applyBorder="1" applyAlignment="1">
      <alignment vertical="center"/>
    </xf>
    <xf numFmtId="0" fontId="2" fillId="3" borderId="21" xfId="2" applyFill="1" applyBorder="1" applyAlignment="1">
      <alignment vertical="top"/>
    </xf>
    <xf numFmtId="0" fontId="2" fillId="0" borderId="8" xfId="2" applyBorder="1" applyAlignment="1">
      <alignment vertical="top"/>
    </xf>
    <xf numFmtId="1" fontId="2" fillId="0" borderId="8" xfId="2" applyNumberFormat="1" applyBorder="1" applyAlignment="1">
      <alignment vertical="top"/>
    </xf>
    <xf numFmtId="0" fontId="2" fillId="0" borderId="8" xfId="0" applyFont="1" applyBorder="1" applyAlignment="1">
      <alignment vertical="top"/>
    </xf>
    <xf numFmtId="0" fontId="2" fillId="3" borderId="4" xfId="2" applyFill="1" applyBorder="1" applyAlignment="1">
      <alignment vertical="top"/>
    </xf>
    <xf numFmtId="0" fontId="0" fillId="0" borderId="8" xfId="0" applyBorder="1" applyAlignment="1">
      <alignment wrapText="1"/>
    </xf>
    <xf numFmtId="0" fontId="11" fillId="10" borderId="13" xfId="2" applyFont="1" applyFill="1" applyBorder="1" applyAlignment="1">
      <alignment horizontal="center" vertical="center"/>
    </xf>
    <xf numFmtId="0" fontId="2" fillId="10" borderId="3" xfId="2" applyFill="1" applyBorder="1" applyAlignment="1">
      <alignment vertical="top"/>
    </xf>
    <xf numFmtId="0" fontId="0" fillId="0" borderId="4" xfId="0" applyBorder="1" applyAlignment="1">
      <alignment vertical="center"/>
    </xf>
    <xf numFmtId="0" fontId="2" fillId="3" borderId="10" xfId="2" applyFill="1" applyBorder="1" applyAlignment="1">
      <alignment vertical="top"/>
    </xf>
    <xf numFmtId="0" fontId="10" fillId="11" borderId="4" xfId="0" quotePrefix="1" applyFont="1" applyFill="1" applyBorder="1" applyAlignment="1">
      <alignment horizontal="left" vertical="center" wrapText="1"/>
    </xf>
    <xf numFmtId="0" fontId="2" fillId="10" borderId="12" xfId="2" applyFill="1" applyBorder="1" applyAlignment="1">
      <alignment vertical="top"/>
    </xf>
    <xf numFmtId="0" fontId="2" fillId="3" borderId="22" xfId="2" applyFill="1" applyBorder="1" applyAlignment="1">
      <alignment vertical="top"/>
    </xf>
    <xf numFmtId="0" fontId="2" fillId="0" borderId="9" xfId="2" applyBorder="1" applyAlignment="1">
      <alignment vertical="top"/>
    </xf>
    <xf numFmtId="1" fontId="2" fillId="0" borderId="9" xfId="2" applyNumberFormat="1" applyBorder="1" applyAlignment="1">
      <alignment vertical="top"/>
    </xf>
    <xf numFmtId="0" fontId="2" fillId="0" borderId="9" xfId="0" applyFont="1" applyBorder="1" applyAlignment="1">
      <alignment vertical="top"/>
    </xf>
    <xf numFmtId="0" fontId="0" fillId="0" borderId="4" xfId="0" applyBorder="1"/>
    <xf numFmtId="0" fontId="11" fillId="10" borderId="12" xfId="2" applyFont="1" applyFill="1" applyBorder="1" applyAlignment="1">
      <alignment horizontal="center" vertical="center"/>
    </xf>
    <xf numFmtId="0" fontId="10" fillId="11" borderId="20" xfId="0" quotePrefix="1" applyFont="1" applyFill="1" applyBorder="1" applyAlignment="1">
      <alignment horizontal="left" vertical="center" wrapText="1"/>
    </xf>
    <xf numFmtId="0" fontId="10" fillId="0" borderId="1" xfId="0" applyFont="1" applyBorder="1" applyAlignment="1">
      <alignment horizontal="left" vertical="center"/>
    </xf>
    <xf numFmtId="0" fontId="10" fillId="11" borderId="1" xfId="0" quotePrefix="1" applyFont="1" applyFill="1" applyBorder="1" applyAlignment="1">
      <alignment horizontal="left" vertical="center" wrapText="1"/>
    </xf>
    <xf numFmtId="0" fontId="2" fillId="9" borderId="9" xfId="2" applyFill="1" applyBorder="1" applyAlignment="1">
      <alignment horizontal="center" vertical="top"/>
    </xf>
    <xf numFmtId="0" fontId="10" fillId="9" borderId="4" xfId="2" applyFont="1" applyFill="1" applyBorder="1" applyAlignment="1">
      <alignment vertical="center"/>
    </xf>
    <xf numFmtId="0" fontId="10" fillId="9" borderId="4" xfId="2" applyFont="1" applyFill="1" applyBorder="1" applyAlignment="1">
      <alignment horizontal="left" vertical="center"/>
    </xf>
    <xf numFmtId="0" fontId="2" fillId="10" borderId="4" xfId="2" applyFill="1" applyBorder="1" applyAlignment="1">
      <alignment horizontal="center" vertical="center"/>
    </xf>
    <xf numFmtId="0" fontId="2" fillId="10" borderId="0" xfId="2" applyFill="1" applyAlignment="1">
      <alignment horizontal="center" vertical="center"/>
    </xf>
    <xf numFmtId="2" fontId="2" fillId="9" borderId="3" xfId="2" applyNumberFormat="1" applyFill="1" applyBorder="1" applyAlignment="1">
      <alignment vertical="top"/>
    </xf>
    <xf numFmtId="0" fontId="2" fillId="9" borderId="4" xfId="2" applyFill="1" applyBorder="1" applyAlignment="1">
      <alignment vertical="top"/>
    </xf>
    <xf numFmtId="0" fontId="2" fillId="9" borderId="4" xfId="2" applyFill="1" applyBorder="1" applyAlignment="1">
      <alignment horizontal="center" vertical="top"/>
    </xf>
    <xf numFmtId="0" fontId="10" fillId="9" borderId="4" xfId="2" applyFont="1" applyFill="1" applyBorder="1" applyAlignment="1">
      <alignment vertical="top"/>
    </xf>
    <xf numFmtId="0" fontId="4" fillId="9" borderId="6" xfId="2" applyFont="1" applyFill="1" applyBorder="1" applyAlignment="1">
      <alignment horizontal="center" vertical="center"/>
    </xf>
    <xf numFmtId="0" fontId="4" fillId="9" borderId="4" xfId="2" applyFont="1" applyFill="1" applyBorder="1" applyAlignment="1">
      <alignment horizontal="center" vertical="center"/>
    </xf>
    <xf numFmtId="0" fontId="2" fillId="9" borderId="4" xfId="2" applyFill="1" applyBorder="1" applyAlignment="1">
      <alignment vertical="center"/>
    </xf>
    <xf numFmtId="0" fontId="2" fillId="9" borderId="6" xfId="2" applyFill="1" applyBorder="1" applyAlignment="1">
      <alignment vertical="center"/>
    </xf>
    <xf numFmtId="0" fontId="12" fillId="2" borderId="4" xfId="1" applyFont="1" applyBorder="1" applyAlignment="1">
      <alignment horizontal="right" vertical="top"/>
    </xf>
    <xf numFmtId="0" fontId="13" fillId="12" borderId="4" xfId="2" applyFont="1" applyFill="1" applyBorder="1" applyAlignment="1">
      <alignment vertical="center"/>
    </xf>
    <xf numFmtId="0" fontId="2" fillId="13" borderId="4" xfId="2" applyFill="1" applyBorder="1" applyAlignment="1">
      <alignment vertical="top"/>
    </xf>
    <xf numFmtId="2" fontId="2" fillId="9" borderId="4" xfId="2" applyNumberFormat="1" applyFill="1" applyBorder="1" applyAlignment="1">
      <alignment vertical="top"/>
    </xf>
    <xf numFmtId="0" fontId="2" fillId="0" borderId="4" xfId="2" applyBorder="1" applyAlignment="1">
      <alignment vertical="center"/>
    </xf>
    <xf numFmtId="2" fontId="2" fillId="0" borderId="4" xfId="2" applyNumberFormat="1" applyBorder="1" applyAlignment="1">
      <alignment vertical="top"/>
    </xf>
    <xf numFmtId="0" fontId="14" fillId="14" borderId="4" xfId="0" applyFont="1" applyFill="1" applyBorder="1" applyAlignment="1">
      <alignment vertical="center"/>
    </xf>
    <xf numFmtId="2" fontId="0" fillId="0" borderId="4" xfId="0" applyNumberFormat="1" applyBorder="1" applyAlignment="1">
      <alignment vertical="center"/>
    </xf>
    <xf numFmtId="2" fontId="4" fillId="0" borderId="4" xfId="2" applyNumberFormat="1" applyFont="1" applyBorder="1" applyAlignment="1">
      <alignment vertical="top"/>
    </xf>
    <xf numFmtId="0" fontId="4" fillId="15" borderId="4" xfId="2" applyFont="1" applyFill="1" applyBorder="1" applyAlignment="1">
      <alignment horizontal="center" vertical="top"/>
    </xf>
    <xf numFmtId="2" fontId="4" fillId="15" borderId="4" xfId="2" applyNumberFormat="1" applyFont="1" applyFill="1" applyBorder="1" applyAlignment="1">
      <alignment vertical="top"/>
    </xf>
    <xf numFmtId="0" fontId="2" fillId="16" borderId="4" xfId="2" applyFill="1" applyBorder="1" applyAlignment="1">
      <alignment vertical="top"/>
    </xf>
    <xf numFmtId="0" fontId="4" fillId="16" borderId="4" xfId="2" applyFont="1" applyFill="1" applyBorder="1" applyAlignment="1">
      <alignment vertical="top"/>
    </xf>
    <xf numFmtId="0" fontId="4" fillId="16" borderId="4" xfId="2" applyFont="1" applyFill="1" applyBorder="1" applyAlignment="1">
      <alignment horizontal="center" vertical="top"/>
    </xf>
    <xf numFmtId="0" fontId="2" fillId="8" borderId="4" xfId="2" applyFill="1" applyBorder="1" applyAlignment="1">
      <alignment vertical="top"/>
    </xf>
    <xf numFmtId="1" fontId="2" fillId="8" borderId="4" xfId="2" applyNumberFormat="1" applyFill="1" applyBorder="1" applyAlignment="1">
      <alignment horizontal="center" vertical="top"/>
    </xf>
    <xf numFmtId="2" fontId="2" fillId="8" borderId="4" xfId="2" applyNumberFormat="1" applyFill="1" applyBorder="1" applyAlignment="1">
      <alignment vertical="top"/>
    </xf>
    <xf numFmtId="1" fontId="2" fillId="17" borderId="4" xfId="2" applyNumberFormat="1" applyFill="1" applyBorder="1" applyAlignment="1">
      <alignment horizontal="center" vertical="top"/>
    </xf>
    <xf numFmtId="0" fontId="2" fillId="8" borderId="4" xfId="2" applyFill="1" applyBorder="1" applyAlignment="1">
      <alignment horizontal="center" vertical="top"/>
    </xf>
    <xf numFmtId="0" fontId="4" fillId="15" borderId="4" xfId="2" applyFont="1" applyFill="1" applyBorder="1" applyAlignment="1">
      <alignment vertical="top"/>
    </xf>
    <xf numFmtId="0" fontId="4" fillId="15" borderId="4" xfId="2" applyFont="1" applyFill="1" applyBorder="1" applyAlignment="1">
      <alignment horizontal="right" vertical="top"/>
    </xf>
    <xf numFmtId="0" fontId="15" fillId="18" borderId="4" xfId="2" applyFont="1" applyFill="1" applyBorder="1" applyAlignment="1">
      <alignment vertical="top"/>
    </xf>
    <xf numFmtId="0" fontId="14" fillId="18" borderId="4" xfId="2" applyFont="1" applyFill="1" applyBorder="1" applyAlignment="1">
      <alignment horizontal="center" vertical="top" wrapText="1"/>
    </xf>
    <xf numFmtId="2" fontId="15" fillId="18" borderId="4" xfId="2" applyNumberFormat="1" applyFont="1" applyFill="1" applyBorder="1" applyAlignment="1">
      <alignment horizontal="right" vertical="top" wrapText="1"/>
    </xf>
    <xf numFmtId="2" fontId="15" fillId="0" borderId="4" xfId="2" applyNumberFormat="1" applyFont="1" applyBorder="1" applyAlignment="1">
      <alignment horizontal="right" vertical="top" wrapText="1"/>
    </xf>
    <xf numFmtId="0" fontId="4" fillId="0" borderId="4" xfId="2" applyFont="1" applyBorder="1" applyAlignment="1">
      <alignment horizontal="right" vertical="top"/>
    </xf>
    <xf numFmtId="0" fontId="7" fillId="0" borderId="0" xfId="0" applyFont="1" applyAlignment="1">
      <alignment vertical="center"/>
    </xf>
    <xf numFmtId="0" fontId="9" fillId="9" borderId="13" xfId="2" applyFont="1" applyFill="1" applyBorder="1" applyAlignment="1">
      <alignment vertical="center" wrapText="1"/>
    </xf>
    <xf numFmtId="0" fontId="9" fillId="9" borderId="4" xfId="2" applyFont="1" applyFill="1" applyBorder="1" applyAlignment="1">
      <alignment vertical="center" wrapText="1"/>
    </xf>
    <xf numFmtId="0" fontId="10" fillId="0" borderId="4" xfId="0" applyFont="1" applyBorder="1" applyAlignment="1">
      <alignment wrapText="1"/>
    </xf>
    <xf numFmtId="0" fontId="10" fillId="0" borderId="4" xfId="0" applyFont="1" applyBorder="1" applyAlignment="1">
      <alignment vertical="center" wrapText="1"/>
    </xf>
    <xf numFmtId="0" fontId="10" fillId="0" borderId="4" xfId="2" applyFont="1" applyBorder="1" applyAlignment="1">
      <alignment vertical="top" wrapText="1"/>
    </xf>
    <xf numFmtId="0" fontId="10" fillId="19" borderId="4" xfId="0" applyFont="1" applyFill="1" applyBorder="1" applyAlignment="1">
      <alignment horizontal="left" vertical="center" wrapText="1"/>
    </xf>
    <xf numFmtId="0" fontId="10" fillId="19" borderId="15" xfId="0" applyFont="1" applyFill="1" applyBorder="1" applyAlignment="1">
      <alignment horizontal="left" vertical="center" wrapText="1"/>
    </xf>
    <xf numFmtId="0" fontId="10" fillId="19" borderId="4" xfId="0" applyFont="1" applyFill="1" applyBorder="1" applyAlignment="1">
      <alignment wrapText="1"/>
    </xf>
    <xf numFmtId="0" fontId="10" fillId="20" borderId="4" xfId="0" applyFont="1" applyFill="1" applyBorder="1" applyAlignment="1">
      <alignment vertical="center"/>
    </xf>
    <xf numFmtId="0" fontId="10" fillId="20" borderId="3" xfId="0" applyFont="1" applyFill="1" applyBorder="1" applyAlignment="1">
      <alignment wrapText="1"/>
    </xf>
    <xf numFmtId="0" fontId="4" fillId="15" borderId="4" xfId="2" applyFont="1" applyFill="1" applyBorder="1" applyAlignment="1">
      <alignment horizontal="right" vertical="top"/>
    </xf>
    <xf numFmtId="0" fontId="14" fillId="14" borderId="4" xfId="0" applyFont="1" applyFill="1" applyBorder="1" applyAlignment="1">
      <alignment horizontal="center" vertical="center"/>
    </xf>
    <xf numFmtId="0" fontId="2" fillId="0" borderId="4" xfId="0" applyFont="1" applyBorder="1" applyAlignment="1">
      <alignment horizontal="left" vertical="top"/>
    </xf>
    <xf numFmtId="0" fontId="0" fillId="0" borderId="4" xfId="0" applyBorder="1" applyAlignment="1">
      <alignment horizontal="center" vertical="center"/>
    </xf>
    <xf numFmtId="0" fontId="4" fillId="15" borderId="4" xfId="2" applyFont="1" applyFill="1" applyBorder="1" applyAlignment="1">
      <alignment horizontal="center" vertical="top"/>
    </xf>
    <xf numFmtId="0" fontId="11" fillId="10" borderId="5" xfId="2" applyFont="1" applyFill="1" applyBorder="1" applyAlignment="1">
      <alignment horizontal="center" vertical="center"/>
    </xf>
    <xf numFmtId="0" fontId="11" fillId="10" borderId="14" xfId="2" applyFont="1" applyFill="1" applyBorder="1" applyAlignment="1">
      <alignment horizontal="center" vertical="center"/>
    </xf>
    <xf numFmtId="0" fontId="11" fillId="10" borderId="10" xfId="2" applyFont="1" applyFill="1" applyBorder="1" applyAlignment="1">
      <alignment horizontal="center" vertical="center"/>
    </xf>
    <xf numFmtId="0" fontId="11" fillId="10" borderId="11" xfId="2" applyFont="1" applyFill="1" applyBorder="1" applyAlignment="1">
      <alignment horizontal="center" vertical="center"/>
    </xf>
    <xf numFmtId="0" fontId="3" fillId="0" borderId="1" xfId="2" applyFont="1" applyBorder="1" applyAlignment="1">
      <alignment horizontal="center" vertical="top"/>
    </xf>
    <xf numFmtId="0" fontId="3" fillId="0" borderId="2" xfId="2" applyFont="1" applyBorder="1" applyAlignment="1">
      <alignment horizontal="center" vertical="top"/>
    </xf>
    <xf numFmtId="0" fontId="6" fillId="4" borderId="6" xfId="2" applyFont="1" applyFill="1" applyBorder="1" applyAlignment="1">
      <alignment horizontal="center" vertical="top" wrapText="1"/>
    </xf>
    <xf numFmtId="0" fontId="6" fillId="4" borderId="7" xfId="2" applyFont="1" applyFill="1" applyBorder="1" applyAlignment="1">
      <alignment horizontal="center" vertical="top" wrapText="1"/>
    </xf>
    <xf numFmtId="0" fontId="6" fillId="4" borderId="3" xfId="2" applyFont="1" applyFill="1" applyBorder="1" applyAlignment="1">
      <alignment horizontal="center" vertical="top" wrapText="1"/>
    </xf>
    <xf numFmtId="0" fontId="6" fillId="4" borderId="4" xfId="2" applyFont="1" applyFill="1" applyBorder="1" applyAlignment="1">
      <alignment horizontal="center" vertical="center" wrapText="1"/>
    </xf>
    <xf numFmtId="0" fontId="6" fillId="4" borderId="4" xfId="2" applyFont="1" applyFill="1" applyBorder="1" applyAlignment="1">
      <alignment horizontal="center" vertical="center"/>
    </xf>
    <xf numFmtId="0" fontId="6" fillId="4" borderId="8" xfId="2" applyFont="1" applyFill="1" applyBorder="1" applyAlignment="1">
      <alignment horizontal="center" vertical="center"/>
    </xf>
    <xf numFmtId="0" fontId="6" fillId="4" borderId="9" xfId="2" applyFont="1" applyFill="1" applyBorder="1" applyAlignment="1">
      <alignment horizontal="center" vertical="center"/>
    </xf>
    <xf numFmtId="0" fontId="6" fillId="8" borderId="1" xfId="2" applyFont="1" applyFill="1" applyBorder="1" applyAlignment="1">
      <alignment horizontal="center" vertical="top"/>
    </xf>
    <xf numFmtId="0" fontId="6" fillId="8" borderId="5" xfId="2" applyFont="1" applyFill="1" applyBorder="1" applyAlignment="1">
      <alignment horizontal="center" vertical="top"/>
    </xf>
    <xf numFmtId="0" fontId="11" fillId="10" borderId="4" xfId="2" applyFont="1" applyFill="1" applyBorder="1" applyAlignment="1">
      <alignment horizontal="center" vertical="center"/>
    </xf>
    <xf numFmtId="0" fontId="11" fillId="10" borderId="6" xfId="2" applyFont="1" applyFill="1" applyBorder="1" applyAlignment="1">
      <alignment horizontal="center" vertical="center"/>
    </xf>
  </cellXfs>
  <cellStyles count="4">
    <cellStyle name="Excel Built-in Normal" xfId="2" xr:uid="{81BFE9A4-4A3C-4F65-AD2B-0CAA6C43215F}"/>
    <cellStyle name="Excel Built-in Normal 2" xfId="3" xr:uid="{BF4896AB-1C5D-4861-BD48-2D2D60E18E4D}"/>
    <cellStyle name="Good" xfId="1" builtinId="2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705421-B138-4697-9C82-77A629A579B6}">
  <dimension ref="A1:G26"/>
  <sheetViews>
    <sheetView workbookViewId="0">
      <selection activeCell="D28" sqref="D28"/>
    </sheetView>
  </sheetViews>
  <sheetFormatPr defaultColWidth="8.85546875" defaultRowHeight="15" x14ac:dyDescent="0.25"/>
  <cols>
    <col min="1" max="1" width="5.85546875" style="4" customWidth="1"/>
    <col min="2" max="2" width="32.85546875" style="4" customWidth="1"/>
    <col min="3" max="3" width="8.85546875" style="4"/>
    <col min="4" max="4" width="58.7109375" style="4" customWidth="1"/>
    <col min="5" max="5" width="16.42578125" style="4" customWidth="1"/>
    <col min="6" max="6" width="12.7109375" style="4" customWidth="1"/>
    <col min="7" max="7" width="9.140625" style="4" customWidth="1"/>
    <col min="8" max="16384" width="8.85546875" style="4"/>
  </cols>
  <sheetData>
    <row r="1" spans="1:7" x14ac:dyDescent="0.25">
      <c r="A1" s="111" t="s">
        <v>9</v>
      </c>
      <c r="B1" s="143" t="s">
        <v>10</v>
      </c>
      <c r="C1" s="143"/>
      <c r="D1" s="143"/>
      <c r="E1" s="111" t="s">
        <v>11</v>
      </c>
      <c r="F1" s="111" t="s">
        <v>6</v>
      </c>
      <c r="G1" s="111" t="s">
        <v>7</v>
      </c>
    </row>
    <row r="2" spans="1:7" x14ac:dyDescent="0.25">
      <c r="A2" s="79">
        <v>1</v>
      </c>
      <c r="B2" s="144" t="s">
        <v>80</v>
      </c>
      <c r="C2" s="144"/>
      <c r="D2" s="144"/>
      <c r="E2" s="112">
        <f>SUM(F2,G2)</f>
        <v>0</v>
      </c>
      <c r="F2" s="113"/>
      <c r="G2" s="112">
        <v>0</v>
      </c>
    </row>
    <row r="3" spans="1:7" x14ac:dyDescent="0.25">
      <c r="A3" s="79"/>
      <c r="B3" s="144"/>
      <c r="C3" s="144"/>
      <c r="D3" s="144"/>
      <c r="E3" s="112">
        <f>SUM(F3,G3)</f>
        <v>0</v>
      </c>
      <c r="F3" s="113"/>
      <c r="G3" s="112">
        <v>0</v>
      </c>
    </row>
    <row r="4" spans="1:7" x14ac:dyDescent="0.25">
      <c r="A4" s="79"/>
      <c r="B4" s="144"/>
      <c r="C4" s="144"/>
      <c r="D4" s="144"/>
      <c r="E4" s="112">
        <v>0</v>
      </c>
      <c r="F4" s="112">
        <v>0</v>
      </c>
      <c r="G4" s="112">
        <v>0</v>
      </c>
    </row>
    <row r="5" spans="1:7" x14ac:dyDescent="0.25">
      <c r="A5" s="79"/>
      <c r="B5" s="145"/>
      <c r="C5" s="145"/>
      <c r="D5" s="145"/>
      <c r="E5" s="79"/>
      <c r="F5" s="79"/>
      <c r="G5" s="79"/>
    </row>
    <row r="6" spans="1:7" x14ac:dyDescent="0.25">
      <c r="A6" s="146" t="s">
        <v>11</v>
      </c>
      <c r="B6" s="146"/>
      <c r="C6" s="146"/>
      <c r="D6" s="146"/>
      <c r="E6" s="115">
        <f>SUM(F6:G6)</f>
        <v>0</v>
      </c>
      <c r="F6" s="113">
        <f>SUM(F2:F5)</f>
        <v>0</v>
      </c>
      <c r="G6" s="113">
        <f>SUM(G2:G4)</f>
        <v>0</v>
      </c>
    </row>
    <row r="7" spans="1:7" x14ac:dyDescent="0.25">
      <c r="A7" s="116"/>
      <c r="B7" s="117" t="s">
        <v>12</v>
      </c>
      <c r="C7" s="117"/>
      <c r="D7" s="118" t="s">
        <v>13</v>
      </c>
      <c r="E7" s="116"/>
      <c r="F7" s="116"/>
      <c r="G7" s="116"/>
    </row>
    <row r="8" spans="1:7" x14ac:dyDescent="0.25">
      <c r="A8" s="119">
        <v>1</v>
      </c>
      <c r="B8" s="119" t="s">
        <v>14</v>
      </c>
      <c r="C8" s="119"/>
      <c r="D8" s="120">
        <v>5</v>
      </c>
      <c r="E8" s="121">
        <f>E6*D8/100</f>
        <v>0</v>
      </c>
      <c r="F8" s="110"/>
      <c r="G8" s="110"/>
    </row>
    <row r="9" spans="1:7" x14ac:dyDescent="0.25">
      <c r="A9" s="119">
        <v>2</v>
      </c>
      <c r="B9" s="119" t="s">
        <v>15</v>
      </c>
      <c r="C9" s="119"/>
      <c r="D9" s="120">
        <v>8</v>
      </c>
      <c r="E9" s="121">
        <f>E6*D9/100</f>
        <v>0</v>
      </c>
      <c r="F9" s="110"/>
      <c r="G9" s="110"/>
    </row>
    <row r="10" spans="1:7" x14ac:dyDescent="0.25">
      <c r="A10" s="119">
        <v>3</v>
      </c>
      <c r="B10" s="119" t="s">
        <v>16</v>
      </c>
      <c r="C10" s="119"/>
      <c r="D10" s="120">
        <v>1</v>
      </c>
      <c r="E10" s="121">
        <f>E6*D10/100</f>
        <v>0</v>
      </c>
      <c r="F10" s="110"/>
      <c r="G10" s="110"/>
    </row>
    <row r="11" spans="1:7" x14ac:dyDescent="0.25">
      <c r="A11" s="119">
        <v>4</v>
      </c>
      <c r="B11" s="119" t="s">
        <v>17</v>
      </c>
      <c r="C11" s="119"/>
      <c r="D11" s="120">
        <v>8</v>
      </c>
      <c r="E11" s="121">
        <f>(E6*D11)/100</f>
        <v>0</v>
      </c>
      <c r="F11" s="110"/>
      <c r="G11" s="110"/>
    </row>
    <row r="12" spans="1:7" x14ac:dyDescent="0.25">
      <c r="A12" s="119">
        <v>5</v>
      </c>
      <c r="B12" s="119" t="s">
        <v>18</v>
      </c>
      <c r="C12" s="119"/>
      <c r="D12" s="122">
        <v>2</v>
      </c>
      <c r="E12" s="121">
        <f>E6*D12/100</f>
        <v>0</v>
      </c>
      <c r="F12" s="110"/>
      <c r="G12" s="110"/>
    </row>
    <row r="13" spans="1:7" x14ac:dyDescent="0.25">
      <c r="A13" s="119">
        <v>6</v>
      </c>
      <c r="B13" s="119" t="s">
        <v>19</v>
      </c>
      <c r="C13" s="119"/>
      <c r="D13" s="122">
        <v>15</v>
      </c>
      <c r="E13" s="121">
        <f>E6*D13/100</f>
        <v>0</v>
      </c>
      <c r="F13" s="110"/>
      <c r="G13" s="110"/>
    </row>
    <row r="14" spans="1:7" x14ac:dyDescent="0.25">
      <c r="A14" s="119">
        <v>7</v>
      </c>
      <c r="B14" s="119" t="s">
        <v>20</v>
      </c>
      <c r="C14" s="119"/>
      <c r="D14" s="123">
        <v>1</v>
      </c>
      <c r="E14" s="121">
        <f>E6*D14/100</f>
        <v>0</v>
      </c>
      <c r="F14" s="110"/>
      <c r="G14" s="110"/>
    </row>
    <row r="15" spans="1:7" x14ac:dyDescent="0.25">
      <c r="A15" s="119"/>
      <c r="B15" s="119"/>
      <c r="C15" s="119"/>
      <c r="D15" s="123"/>
      <c r="E15" s="121"/>
      <c r="F15" s="110"/>
      <c r="G15" s="110"/>
    </row>
    <row r="16" spans="1:7" x14ac:dyDescent="0.25">
      <c r="A16" s="124"/>
      <c r="B16" s="142" t="s">
        <v>21</v>
      </c>
      <c r="C16" s="142"/>
      <c r="D16" s="114"/>
      <c r="E16" s="115">
        <f>SUM(E6:E15)</f>
        <v>0</v>
      </c>
      <c r="F16" s="113"/>
      <c r="G16" s="113"/>
    </row>
    <row r="17" spans="1:7" x14ac:dyDescent="0.25">
      <c r="A17" s="119">
        <v>8</v>
      </c>
      <c r="B17" s="119" t="s">
        <v>22</v>
      </c>
      <c r="C17" s="119"/>
      <c r="D17" s="120">
        <v>0</v>
      </c>
      <c r="E17" s="121">
        <f>$F$41*D17%</f>
        <v>0</v>
      </c>
      <c r="F17" s="110"/>
      <c r="G17" s="110"/>
    </row>
    <row r="18" spans="1:7" x14ac:dyDescent="0.25">
      <c r="A18" s="124"/>
      <c r="B18" s="124" t="s">
        <v>23</v>
      </c>
      <c r="C18" s="124"/>
      <c r="D18" s="114"/>
      <c r="E18" s="115">
        <f>E16+E17</f>
        <v>0</v>
      </c>
      <c r="F18" s="113"/>
      <c r="G18" s="113"/>
    </row>
    <row r="19" spans="1:7" x14ac:dyDescent="0.25">
      <c r="A19" s="126"/>
      <c r="B19" s="126"/>
      <c r="C19" s="126"/>
      <c r="D19" s="127" t="s">
        <v>24</v>
      </c>
      <c r="E19" s="128"/>
      <c r="F19" s="129"/>
      <c r="G19" s="129"/>
    </row>
    <row r="20" spans="1:7" x14ac:dyDescent="0.25">
      <c r="A20" s="124"/>
      <c r="B20" s="124"/>
      <c r="C20" s="124"/>
      <c r="D20" s="124"/>
      <c r="E20" s="124"/>
      <c r="F20" s="129"/>
      <c r="G20" s="129"/>
    </row>
    <row r="21" spans="1:7" x14ac:dyDescent="0.25">
      <c r="A21" s="124"/>
      <c r="B21" s="124" t="s">
        <v>25</v>
      </c>
      <c r="C21" s="124"/>
      <c r="D21" s="114">
        <v>20</v>
      </c>
      <c r="E21" s="125">
        <f>E18*D21</f>
        <v>0</v>
      </c>
      <c r="F21" s="130"/>
      <c r="G21" s="130"/>
    </row>
    <row r="24" spans="1:7" x14ac:dyDescent="0.25">
      <c r="E24" s="131"/>
      <c r="F24" s="131"/>
    </row>
    <row r="25" spans="1:7" x14ac:dyDescent="0.25">
      <c r="E25" s="131"/>
      <c r="F25" s="131"/>
    </row>
    <row r="26" spans="1:7" x14ac:dyDescent="0.25">
      <c r="E26" s="131"/>
      <c r="F26" s="131"/>
    </row>
  </sheetData>
  <mergeCells count="7">
    <mergeCell ref="B16:C16"/>
    <mergeCell ref="B1:D1"/>
    <mergeCell ref="B2:D2"/>
    <mergeCell ref="B3:D3"/>
    <mergeCell ref="B4:D4"/>
    <mergeCell ref="B5:D5"/>
    <mergeCell ref="A6:D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J145"/>
  <sheetViews>
    <sheetView tabSelected="1" topLeftCell="A41" workbookViewId="0">
      <selection activeCell="D52" sqref="D52"/>
    </sheetView>
  </sheetViews>
  <sheetFormatPr defaultColWidth="12.28515625" defaultRowHeight="15" x14ac:dyDescent="0.25"/>
  <cols>
    <col min="1" max="1" width="2" style="75" customWidth="1"/>
    <col min="2" max="2" width="7.42578125" style="2" customWidth="1"/>
    <col min="3" max="3" width="40.140625" style="109" customWidth="1"/>
    <col min="4" max="4" width="63" style="2" customWidth="1"/>
    <col min="5" max="5" width="43.140625" style="109" customWidth="1"/>
    <col min="6" max="6" width="7.7109375" style="109" hidden="1" customWidth="1"/>
    <col min="7" max="7" width="17.5703125" style="109" customWidth="1"/>
    <col min="8" max="8" width="18" style="109" customWidth="1"/>
    <col min="9" max="9" width="42.42578125" style="110" customWidth="1"/>
    <col min="10" max="10" width="1.7109375" style="75" customWidth="1"/>
    <col min="11" max="245" width="9.7109375" style="2" customWidth="1"/>
    <col min="246" max="246" width="17.28515625" style="2" customWidth="1"/>
    <col min="247" max="247" width="100" style="2" customWidth="1"/>
    <col min="248" max="248" width="6.42578125" style="2" customWidth="1"/>
    <col min="249" max="249" width="1.7109375" style="2" customWidth="1"/>
    <col min="250" max="250" width="10.42578125" style="2" customWidth="1"/>
    <col min="251" max="251" width="11.42578125" style="2" customWidth="1"/>
    <col min="252" max="1019" width="12.28515625" style="3"/>
    <col min="1020" max="1024" width="10.28515625" style="3" customWidth="1"/>
    <col min="1025" max="16384" width="12.28515625" style="4"/>
  </cols>
  <sheetData>
    <row r="1" spans="1:251" ht="26.25" x14ac:dyDescent="0.25">
      <c r="A1" s="151" t="s">
        <v>26</v>
      </c>
      <c r="B1" s="151"/>
      <c r="C1" s="151"/>
      <c r="D1" s="151"/>
      <c r="E1" s="152"/>
      <c r="F1" s="152"/>
      <c r="G1" s="152"/>
      <c r="H1" s="152"/>
      <c r="I1" s="152"/>
      <c r="J1" s="1"/>
    </row>
    <row r="2" spans="1:251" ht="18.75" customHeight="1" x14ac:dyDescent="0.25">
      <c r="A2" s="5"/>
      <c r="B2" s="6"/>
      <c r="C2" s="7"/>
      <c r="D2" s="8"/>
      <c r="E2" s="153" t="s">
        <v>0</v>
      </c>
      <c r="F2" s="154"/>
      <c r="G2" s="154"/>
      <c r="H2" s="155"/>
      <c r="I2" s="156" t="s">
        <v>1</v>
      </c>
      <c r="J2" s="1"/>
      <c r="IL2" s="9"/>
      <c r="IM2" s="9"/>
      <c r="IN2" s="9"/>
      <c r="IO2" s="9"/>
      <c r="IP2" s="9"/>
      <c r="IQ2" s="9"/>
    </row>
    <row r="3" spans="1:251" ht="18.75" x14ac:dyDescent="0.25">
      <c r="A3" s="10"/>
      <c r="B3" s="11" t="s">
        <v>2</v>
      </c>
      <c r="C3" s="12" t="s">
        <v>3</v>
      </c>
      <c r="D3" s="13" t="s">
        <v>4</v>
      </c>
      <c r="E3" s="157" t="s">
        <v>5</v>
      </c>
      <c r="F3" s="157"/>
      <c r="G3" s="158" t="s">
        <v>6</v>
      </c>
      <c r="H3" s="158" t="s">
        <v>7</v>
      </c>
      <c r="I3" s="156"/>
      <c r="J3" s="1"/>
      <c r="IL3" s="14"/>
      <c r="IM3" s="14"/>
      <c r="IN3" s="14"/>
      <c r="IO3" s="14"/>
      <c r="IP3" s="14"/>
      <c r="IQ3" s="14"/>
    </row>
    <row r="4" spans="1:251" ht="18.75" x14ac:dyDescent="0.25">
      <c r="A4" s="10"/>
      <c r="B4" s="160" t="s">
        <v>27</v>
      </c>
      <c r="C4" s="160"/>
      <c r="D4" s="161"/>
      <c r="E4" s="157"/>
      <c r="F4" s="157"/>
      <c r="G4" s="159"/>
      <c r="H4" s="159"/>
      <c r="I4" s="156"/>
      <c r="J4" s="1"/>
      <c r="IL4" s="14"/>
      <c r="IM4" s="14"/>
      <c r="IN4" s="14"/>
      <c r="IO4" s="14"/>
      <c r="IP4" s="14"/>
      <c r="IQ4" s="14"/>
    </row>
    <row r="5" spans="1:251" ht="15.95" customHeight="1" x14ac:dyDescent="0.25">
      <c r="A5" s="10"/>
      <c r="B5" s="15"/>
      <c r="C5" s="16"/>
      <c r="D5" s="17"/>
      <c r="E5" s="149"/>
      <c r="F5" s="150"/>
      <c r="G5" s="19"/>
      <c r="H5" s="19"/>
      <c r="I5" s="20"/>
      <c r="J5" s="1"/>
      <c r="L5" s="21"/>
      <c r="IL5" s="14"/>
      <c r="IM5" s="14"/>
      <c r="IN5" s="14"/>
      <c r="IO5" s="14"/>
      <c r="IP5" s="14"/>
      <c r="IQ5" s="14"/>
    </row>
    <row r="6" spans="1:251" ht="75" x14ac:dyDescent="0.25">
      <c r="A6" s="22"/>
      <c r="B6" s="23"/>
      <c r="C6" s="132" t="s">
        <v>28</v>
      </c>
      <c r="D6" s="25" t="s">
        <v>29</v>
      </c>
      <c r="E6" s="147"/>
      <c r="F6" s="148"/>
      <c r="G6" s="19"/>
      <c r="H6" s="19">
        <v>20</v>
      </c>
      <c r="I6" s="28"/>
      <c r="J6" s="1"/>
      <c r="L6" s="21"/>
      <c r="IL6" s="14"/>
      <c r="IM6" s="14"/>
      <c r="IN6" s="14"/>
      <c r="IO6" s="14"/>
      <c r="IP6" s="14"/>
      <c r="IQ6" s="14"/>
    </row>
    <row r="7" spans="1:251" ht="15.95" customHeight="1" x14ac:dyDescent="0.25">
      <c r="A7" s="22"/>
      <c r="B7" s="23"/>
      <c r="C7" s="24"/>
      <c r="D7" s="29"/>
      <c r="E7" s="30"/>
      <c r="F7" s="31"/>
      <c r="G7" s="19"/>
      <c r="H7" s="19"/>
      <c r="I7" s="32"/>
      <c r="J7" s="1"/>
      <c r="L7" s="21"/>
      <c r="IL7" s="14"/>
      <c r="IM7" s="14"/>
      <c r="IN7" s="14"/>
      <c r="IO7" s="14"/>
      <c r="IP7" s="14"/>
      <c r="IQ7" s="14"/>
    </row>
    <row r="8" spans="1:251" ht="60" x14ac:dyDescent="0.25">
      <c r="A8" s="22"/>
      <c r="B8" s="33"/>
      <c r="C8" s="133" t="s">
        <v>30</v>
      </c>
      <c r="D8" s="137" t="s">
        <v>31</v>
      </c>
      <c r="E8" s="19"/>
      <c r="F8" s="35"/>
      <c r="G8" s="19">
        <v>8</v>
      </c>
      <c r="H8" s="19"/>
      <c r="I8" s="32"/>
      <c r="J8" s="1"/>
      <c r="L8" s="21"/>
      <c r="IL8" s="14"/>
      <c r="IM8" s="14"/>
      <c r="IN8" s="14"/>
      <c r="IO8" s="14"/>
      <c r="IP8" s="14"/>
      <c r="IQ8" s="14"/>
    </row>
    <row r="9" spans="1:251" ht="15.95" customHeight="1" x14ac:dyDescent="0.25">
      <c r="A9" s="22"/>
      <c r="B9" s="33"/>
      <c r="C9" s="34"/>
      <c r="D9" s="36"/>
      <c r="E9" s="19"/>
      <c r="F9" s="35"/>
      <c r="G9" s="19"/>
      <c r="H9" s="19"/>
      <c r="I9" s="32"/>
      <c r="J9" s="1"/>
      <c r="L9" s="21"/>
      <c r="IL9" s="14"/>
      <c r="IM9" s="14"/>
      <c r="IN9" s="14"/>
      <c r="IO9" s="14"/>
      <c r="IP9" s="14"/>
      <c r="IQ9" s="14"/>
    </row>
    <row r="10" spans="1:251" ht="45" x14ac:dyDescent="0.25">
      <c r="A10" s="22"/>
      <c r="B10" s="33"/>
      <c r="C10" s="34" t="s">
        <v>32</v>
      </c>
      <c r="D10" s="134" t="s">
        <v>33</v>
      </c>
      <c r="E10" s="162"/>
      <c r="F10" s="163"/>
      <c r="G10" s="19">
        <v>40</v>
      </c>
      <c r="H10" s="19"/>
      <c r="I10" s="37" t="s">
        <v>81</v>
      </c>
      <c r="J10" s="1"/>
      <c r="L10" s="21"/>
      <c r="IL10" s="14"/>
      <c r="IM10" s="14"/>
      <c r="IN10" s="14"/>
      <c r="IO10" s="14"/>
      <c r="IP10" s="14"/>
      <c r="IQ10" s="14"/>
    </row>
    <row r="11" spans="1:251" x14ac:dyDescent="0.25">
      <c r="A11" s="22"/>
      <c r="B11" s="38"/>
      <c r="C11" s="39"/>
      <c r="D11" s="36"/>
      <c r="E11" s="162"/>
      <c r="F11" s="163"/>
      <c r="G11" s="19"/>
      <c r="H11" s="19"/>
      <c r="I11" s="40"/>
      <c r="J11" s="1"/>
      <c r="L11" s="21"/>
    </row>
    <row r="12" spans="1:251" ht="30" x14ac:dyDescent="0.25">
      <c r="A12" s="22"/>
      <c r="B12" s="33"/>
      <c r="C12" s="135" t="s">
        <v>34</v>
      </c>
      <c r="D12" s="134"/>
      <c r="E12" s="162"/>
      <c r="F12" s="163"/>
      <c r="G12" s="19"/>
      <c r="H12" s="19"/>
      <c r="I12" s="40" t="s">
        <v>82</v>
      </c>
      <c r="J12" s="1"/>
      <c r="L12" s="21"/>
    </row>
    <row r="13" spans="1:251" x14ac:dyDescent="0.25">
      <c r="A13" s="22"/>
      <c r="B13" s="33"/>
      <c r="C13" s="39"/>
      <c r="D13" s="36"/>
      <c r="E13" s="19"/>
      <c r="F13" s="35"/>
      <c r="G13" s="19"/>
      <c r="H13" s="19"/>
      <c r="I13" s="40"/>
      <c r="J13" s="1"/>
      <c r="L13" s="21"/>
    </row>
    <row r="14" spans="1:251" ht="90" x14ac:dyDescent="0.25">
      <c r="A14" s="22"/>
      <c r="B14" s="33"/>
      <c r="C14" s="39" t="s">
        <v>35</v>
      </c>
      <c r="D14" s="136" t="s">
        <v>36</v>
      </c>
      <c r="E14" s="41"/>
      <c r="F14" s="35"/>
      <c r="G14" s="19"/>
      <c r="H14" s="19">
        <v>30</v>
      </c>
      <c r="I14" s="40" t="s">
        <v>83</v>
      </c>
      <c r="J14" s="1"/>
      <c r="L14" s="21"/>
    </row>
    <row r="15" spans="1:251" ht="15.95" customHeight="1" x14ac:dyDescent="0.25">
      <c r="A15" s="22"/>
      <c r="B15" s="42"/>
      <c r="C15" s="43"/>
      <c r="D15" s="44"/>
      <c r="E15" s="149"/>
      <c r="F15" s="150"/>
      <c r="G15" s="19"/>
      <c r="H15" s="19"/>
      <c r="I15" s="40"/>
      <c r="J15" s="1"/>
      <c r="L15" s="21"/>
    </row>
    <row r="16" spans="1:251" ht="60" x14ac:dyDescent="0.25">
      <c r="A16" s="22"/>
      <c r="B16" s="42"/>
      <c r="C16" s="39" t="s">
        <v>37</v>
      </c>
      <c r="D16" s="45" t="s">
        <v>38</v>
      </c>
      <c r="E16" s="26"/>
      <c r="F16" s="27"/>
      <c r="G16" s="19"/>
      <c r="H16" s="19">
        <v>40</v>
      </c>
      <c r="I16" s="40"/>
      <c r="J16" s="1"/>
      <c r="L16" s="21"/>
    </row>
    <row r="17" spans="1:12" x14ac:dyDescent="0.25">
      <c r="A17" s="22"/>
      <c r="B17" s="42"/>
      <c r="C17" s="39"/>
      <c r="D17" s="45"/>
      <c r="E17" s="147"/>
      <c r="F17" s="148"/>
      <c r="G17" s="19"/>
      <c r="H17" s="19"/>
      <c r="I17" s="40"/>
      <c r="J17" s="1"/>
      <c r="L17" s="21"/>
    </row>
    <row r="18" spans="1:12" ht="30" x14ac:dyDescent="0.25">
      <c r="A18" s="22"/>
      <c r="B18" s="42"/>
      <c r="C18" s="39" t="s">
        <v>39</v>
      </c>
      <c r="D18" s="45" t="s">
        <v>40</v>
      </c>
      <c r="E18" s="26"/>
      <c r="F18" s="27"/>
      <c r="G18" s="19"/>
      <c r="H18" s="19"/>
      <c r="I18" s="40" t="s">
        <v>84</v>
      </c>
      <c r="J18" s="1"/>
      <c r="L18" s="21"/>
    </row>
    <row r="19" spans="1:12" x14ac:dyDescent="0.25">
      <c r="A19" s="22"/>
      <c r="B19" s="42"/>
      <c r="C19" s="39"/>
      <c r="D19" s="45"/>
      <c r="E19" s="26"/>
      <c r="F19" s="27"/>
      <c r="G19" s="19"/>
      <c r="H19" s="19"/>
      <c r="I19" s="40"/>
      <c r="J19" s="1"/>
      <c r="L19" s="21"/>
    </row>
    <row r="20" spans="1:12" ht="45" x14ac:dyDescent="0.25">
      <c r="A20" s="22"/>
      <c r="B20" s="42"/>
      <c r="C20" s="39" t="s">
        <v>41</v>
      </c>
      <c r="D20" s="138" t="s">
        <v>42</v>
      </c>
      <c r="E20" s="26"/>
      <c r="F20" s="27"/>
      <c r="G20" s="19">
        <v>16</v>
      </c>
      <c r="H20" s="19"/>
      <c r="I20" s="40"/>
      <c r="J20" s="1"/>
      <c r="L20" s="21"/>
    </row>
    <row r="21" spans="1:12" ht="15.95" customHeight="1" x14ac:dyDescent="0.25">
      <c r="A21" s="22"/>
      <c r="B21" s="46"/>
      <c r="C21" s="39"/>
      <c r="D21" s="45"/>
      <c r="E21" s="147"/>
      <c r="F21" s="148"/>
      <c r="G21" s="19"/>
      <c r="H21" s="19"/>
      <c r="I21" s="40"/>
      <c r="J21" s="1"/>
      <c r="L21" s="21"/>
    </row>
    <row r="22" spans="1:12" ht="30" x14ac:dyDescent="0.25">
      <c r="A22" s="22"/>
      <c r="B22" s="42"/>
      <c r="C22" s="135" t="s">
        <v>43</v>
      </c>
      <c r="D22" s="45" t="s">
        <v>44</v>
      </c>
      <c r="E22" s="147"/>
      <c r="F22" s="148"/>
      <c r="G22" s="19"/>
      <c r="H22" s="19"/>
      <c r="I22" s="40" t="s">
        <v>82</v>
      </c>
      <c r="J22" s="1"/>
      <c r="L22" s="21"/>
    </row>
    <row r="23" spans="1:12" x14ac:dyDescent="0.25">
      <c r="A23" s="22"/>
      <c r="B23" s="47"/>
      <c r="C23" s="48"/>
      <c r="D23" s="25"/>
      <c r="E23" s="147"/>
      <c r="F23" s="148"/>
      <c r="G23" s="19"/>
      <c r="H23" s="19"/>
      <c r="I23" s="40"/>
      <c r="J23" s="1"/>
      <c r="L23" s="21"/>
    </row>
    <row r="24" spans="1:12" ht="45" x14ac:dyDescent="0.25">
      <c r="A24" s="22"/>
      <c r="B24" s="46"/>
      <c r="C24" s="39" t="s">
        <v>45</v>
      </c>
      <c r="D24" s="49" t="s">
        <v>46</v>
      </c>
      <c r="E24" s="147"/>
      <c r="F24" s="148"/>
      <c r="G24" s="19"/>
      <c r="H24" s="19">
        <v>16</v>
      </c>
      <c r="I24" s="40" t="s">
        <v>85</v>
      </c>
      <c r="J24" s="1"/>
      <c r="L24" s="21"/>
    </row>
    <row r="25" spans="1:12" x14ac:dyDescent="0.25">
      <c r="A25" s="22"/>
      <c r="B25" s="46"/>
      <c r="C25" s="39"/>
      <c r="D25" s="29"/>
      <c r="E25" s="147"/>
      <c r="F25" s="148"/>
      <c r="G25" s="19"/>
      <c r="H25" s="19"/>
      <c r="I25" s="40"/>
      <c r="J25" s="1"/>
      <c r="L25" s="21"/>
    </row>
    <row r="26" spans="1:12" ht="60" x14ac:dyDescent="0.25">
      <c r="A26" s="22"/>
      <c r="B26" s="42"/>
      <c r="C26" s="39" t="s">
        <v>47</v>
      </c>
      <c r="D26" s="45" t="s">
        <v>48</v>
      </c>
      <c r="E26" s="147"/>
      <c r="F26" s="148"/>
      <c r="G26" s="19">
        <v>24</v>
      </c>
      <c r="H26" s="19"/>
      <c r="I26" s="40"/>
      <c r="J26" s="1"/>
      <c r="L26" s="21"/>
    </row>
    <row r="27" spans="1:12" ht="15.95" customHeight="1" x14ac:dyDescent="0.25">
      <c r="A27" s="22"/>
      <c r="B27" s="46"/>
      <c r="C27" s="39"/>
      <c r="D27" s="44"/>
      <c r="E27" s="147"/>
      <c r="F27" s="148"/>
      <c r="G27" s="19"/>
      <c r="H27" s="19"/>
      <c r="I27" s="40"/>
      <c r="J27" s="1"/>
      <c r="L27" s="21"/>
    </row>
    <row r="28" spans="1:12" ht="75" x14ac:dyDescent="0.25">
      <c r="A28" s="22"/>
      <c r="B28" s="46"/>
      <c r="C28" s="39" t="s">
        <v>49</v>
      </c>
      <c r="D28" s="29" t="s">
        <v>50</v>
      </c>
      <c r="E28" s="147"/>
      <c r="F28" s="148"/>
      <c r="G28" s="19">
        <v>8</v>
      </c>
      <c r="H28" s="19">
        <v>24</v>
      </c>
      <c r="I28" s="40" t="s">
        <v>86</v>
      </c>
      <c r="J28" s="1"/>
      <c r="L28" s="21"/>
    </row>
    <row r="29" spans="1:12" ht="15.95" customHeight="1" x14ac:dyDescent="0.25">
      <c r="A29" s="22"/>
      <c r="B29" s="46"/>
      <c r="C29" s="39"/>
      <c r="D29" s="36"/>
      <c r="E29" s="27"/>
      <c r="F29" s="27"/>
      <c r="G29" s="19"/>
      <c r="H29" s="19"/>
      <c r="I29" s="40"/>
      <c r="J29" s="1"/>
      <c r="L29" s="21"/>
    </row>
    <row r="30" spans="1:12" ht="30" x14ac:dyDescent="0.25">
      <c r="A30" s="22"/>
      <c r="B30" s="46"/>
      <c r="C30" s="39" t="s">
        <v>51</v>
      </c>
      <c r="D30" s="139" t="s">
        <v>52</v>
      </c>
      <c r="E30" s="27"/>
      <c r="F30" s="27"/>
      <c r="G30" s="19">
        <v>32</v>
      </c>
      <c r="H30" s="19"/>
      <c r="I30" s="40"/>
      <c r="J30" s="1"/>
      <c r="L30" s="21"/>
    </row>
    <row r="31" spans="1:12" ht="15.95" customHeight="1" x14ac:dyDescent="0.25">
      <c r="A31" s="22"/>
      <c r="B31" s="46"/>
      <c r="C31" s="39"/>
      <c r="D31" s="36"/>
      <c r="E31" s="148"/>
      <c r="F31" s="148"/>
      <c r="G31" s="19"/>
      <c r="H31" s="19"/>
      <c r="I31" s="40"/>
      <c r="J31" s="1"/>
      <c r="L31" s="21"/>
    </row>
    <row r="32" spans="1:12" ht="165" x14ac:dyDescent="0.25">
      <c r="A32" s="22"/>
      <c r="B32" s="46"/>
      <c r="C32" s="39" t="s">
        <v>53</v>
      </c>
      <c r="D32" s="139" t="s">
        <v>54</v>
      </c>
      <c r="E32" s="148"/>
      <c r="F32" s="148"/>
      <c r="G32" s="19"/>
      <c r="H32" s="19"/>
      <c r="I32" s="40" t="s">
        <v>87</v>
      </c>
      <c r="J32" s="1"/>
      <c r="L32" s="21"/>
    </row>
    <row r="33" spans="1:12" ht="15.95" customHeight="1" x14ac:dyDescent="0.25">
      <c r="A33" s="22"/>
      <c r="B33" s="46"/>
      <c r="C33" s="39"/>
      <c r="D33" s="36"/>
      <c r="E33" s="148"/>
      <c r="F33" s="148"/>
      <c r="G33" s="19"/>
      <c r="H33" s="19"/>
      <c r="I33" s="40"/>
      <c r="J33" s="1"/>
      <c r="L33" s="21"/>
    </row>
    <row r="34" spans="1:12" ht="30" x14ac:dyDescent="0.25">
      <c r="A34" s="22"/>
      <c r="B34" s="46"/>
      <c r="C34" s="39" t="s">
        <v>55</v>
      </c>
      <c r="D34" s="139" t="s">
        <v>56</v>
      </c>
      <c r="E34" s="50"/>
      <c r="F34" s="27"/>
      <c r="G34" s="19"/>
      <c r="H34" s="19"/>
      <c r="I34" s="40"/>
      <c r="J34" s="1"/>
      <c r="L34" s="21"/>
    </row>
    <row r="35" spans="1:12" ht="15.95" customHeight="1" x14ac:dyDescent="0.25">
      <c r="A35" s="22"/>
      <c r="B35" s="46"/>
      <c r="C35" s="39"/>
      <c r="D35" s="44"/>
      <c r="E35" s="147"/>
      <c r="F35" s="148"/>
      <c r="G35" s="19"/>
      <c r="H35" s="19"/>
      <c r="I35" s="40"/>
      <c r="J35" s="1"/>
      <c r="L35" s="21"/>
    </row>
    <row r="36" spans="1:12" ht="15.95" customHeight="1" x14ac:dyDescent="0.25">
      <c r="A36" s="22"/>
      <c r="B36" s="46"/>
      <c r="C36" s="39" t="s">
        <v>57</v>
      </c>
      <c r="D36" s="138" t="s">
        <v>58</v>
      </c>
      <c r="E36" s="147"/>
      <c r="F36" s="148"/>
      <c r="G36" s="19">
        <v>80</v>
      </c>
      <c r="H36" s="19"/>
      <c r="I36" s="40"/>
      <c r="J36" s="1"/>
      <c r="L36" s="21"/>
    </row>
    <row r="37" spans="1:12" ht="15.95" customHeight="1" x14ac:dyDescent="0.25">
      <c r="A37" s="22"/>
      <c r="B37" s="46"/>
      <c r="C37" s="39"/>
      <c r="D37" s="45"/>
      <c r="E37" s="147"/>
      <c r="F37" s="148"/>
      <c r="G37" s="19"/>
      <c r="H37" s="19"/>
      <c r="I37" s="40"/>
      <c r="J37" s="1"/>
      <c r="L37" s="21"/>
    </row>
    <row r="38" spans="1:12" ht="30" x14ac:dyDescent="0.25">
      <c r="A38" s="22"/>
      <c r="B38" s="46"/>
      <c r="C38" s="39" t="s">
        <v>59</v>
      </c>
      <c r="D38" s="29" t="s">
        <v>60</v>
      </c>
      <c r="E38" s="26"/>
      <c r="F38" s="27"/>
      <c r="G38" s="19">
        <v>16</v>
      </c>
      <c r="H38" s="19"/>
      <c r="I38" s="40"/>
      <c r="J38" s="1"/>
      <c r="L38" s="21"/>
    </row>
    <row r="39" spans="1:12" x14ac:dyDescent="0.25">
      <c r="A39" s="22"/>
      <c r="B39" s="46"/>
      <c r="C39" s="39"/>
      <c r="D39" s="29"/>
      <c r="E39" s="26"/>
      <c r="F39" s="27"/>
      <c r="G39" s="19"/>
      <c r="H39" s="19"/>
      <c r="I39" s="40"/>
      <c r="J39" s="1"/>
      <c r="L39" s="21"/>
    </row>
    <row r="40" spans="1:12" ht="75" x14ac:dyDescent="0.25">
      <c r="A40" s="22"/>
      <c r="B40" s="46"/>
      <c r="C40" s="39" t="s">
        <v>61</v>
      </c>
      <c r="D40" s="29" t="s">
        <v>62</v>
      </c>
      <c r="E40" s="147"/>
      <c r="F40" s="148"/>
      <c r="G40" s="19">
        <v>16</v>
      </c>
      <c r="H40" s="19">
        <v>16</v>
      </c>
      <c r="I40" s="40" t="s">
        <v>88</v>
      </c>
      <c r="J40" s="1"/>
      <c r="L40" s="21"/>
    </row>
    <row r="41" spans="1:12" x14ac:dyDescent="0.25">
      <c r="A41" s="22"/>
      <c r="B41" s="51"/>
      <c r="C41" s="39"/>
      <c r="D41" s="52"/>
      <c r="E41" s="148"/>
      <c r="F41" s="148"/>
      <c r="G41" s="19"/>
      <c r="H41" s="19"/>
      <c r="I41" s="40"/>
      <c r="J41" s="1"/>
      <c r="L41" s="21"/>
    </row>
    <row r="42" spans="1:12" x14ac:dyDescent="0.25">
      <c r="A42" s="22"/>
      <c r="B42" s="51"/>
      <c r="C42" s="39" t="s">
        <v>63</v>
      </c>
      <c r="D42" s="52" t="s">
        <v>64</v>
      </c>
      <c r="E42" s="27"/>
      <c r="F42" s="27"/>
      <c r="G42" s="19"/>
      <c r="H42" s="19"/>
      <c r="I42" s="40" t="s">
        <v>82</v>
      </c>
      <c r="J42" s="1"/>
      <c r="L42" s="21"/>
    </row>
    <row r="43" spans="1:12" x14ac:dyDescent="0.25">
      <c r="A43" s="22"/>
      <c r="B43" s="51"/>
      <c r="C43" s="39"/>
      <c r="D43" s="52"/>
      <c r="E43" s="27"/>
      <c r="F43" s="27"/>
      <c r="G43" s="19"/>
      <c r="H43" s="19"/>
      <c r="I43" s="40"/>
      <c r="J43" s="1"/>
      <c r="L43" s="21"/>
    </row>
    <row r="44" spans="1:12" ht="90" x14ac:dyDescent="0.25">
      <c r="A44" s="22"/>
      <c r="B44" s="51"/>
      <c r="C44" s="39" t="s">
        <v>65</v>
      </c>
      <c r="D44" s="52" t="s">
        <v>66</v>
      </c>
      <c r="E44" s="27"/>
      <c r="F44" s="27"/>
      <c r="G44" s="19">
        <v>24</v>
      </c>
      <c r="H44" s="19">
        <v>8</v>
      </c>
      <c r="I44" s="40" t="s">
        <v>89</v>
      </c>
      <c r="J44" s="1"/>
      <c r="L44" s="21"/>
    </row>
    <row r="45" spans="1:12" x14ac:dyDescent="0.25">
      <c r="A45" s="22"/>
      <c r="B45" s="51"/>
      <c r="C45" s="39"/>
      <c r="D45" s="52"/>
      <c r="E45" s="27"/>
      <c r="F45" s="27"/>
      <c r="G45" s="19"/>
      <c r="H45" s="19"/>
      <c r="I45" s="40"/>
      <c r="J45" s="1"/>
      <c r="L45" s="21"/>
    </row>
    <row r="46" spans="1:12" ht="30" x14ac:dyDescent="0.25">
      <c r="A46" s="22"/>
      <c r="B46" s="51"/>
      <c r="C46" s="140" t="s">
        <v>67</v>
      </c>
      <c r="D46" s="141" t="s">
        <v>68</v>
      </c>
      <c r="E46" s="27"/>
      <c r="F46" s="27"/>
      <c r="G46" s="19"/>
      <c r="H46" s="19"/>
      <c r="I46" s="40" t="s">
        <v>82</v>
      </c>
      <c r="J46" s="1"/>
      <c r="L46" s="21"/>
    </row>
    <row r="47" spans="1:12" x14ac:dyDescent="0.25">
      <c r="A47" s="22"/>
      <c r="B47" s="51"/>
      <c r="C47" s="39"/>
      <c r="D47" s="52"/>
      <c r="E47" s="27"/>
      <c r="F47" s="27"/>
      <c r="G47" s="19"/>
      <c r="H47" s="19"/>
      <c r="I47" s="40"/>
      <c r="J47" s="1"/>
      <c r="L47" s="21"/>
    </row>
    <row r="48" spans="1:12" ht="30" x14ac:dyDescent="0.25">
      <c r="A48" s="22"/>
      <c r="B48" s="51"/>
      <c r="C48" s="39" t="s">
        <v>69</v>
      </c>
      <c r="D48" s="52" t="s">
        <v>70</v>
      </c>
      <c r="E48" s="27"/>
      <c r="F48" s="27"/>
      <c r="G48" s="19">
        <v>50</v>
      </c>
      <c r="H48" s="19"/>
      <c r="I48" s="40"/>
      <c r="J48" s="1"/>
      <c r="L48" s="21"/>
    </row>
    <row r="49" spans="1:12" x14ac:dyDescent="0.25">
      <c r="A49" s="22"/>
      <c r="B49" s="51"/>
      <c r="C49" s="39"/>
      <c r="D49" s="52"/>
      <c r="E49" s="27"/>
      <c r="F49" s="27"/>
      <c r="G49" s="19"/>
      <c r="H49" s="19"/>
      <c r="I49" s="40"/>
      <c r="J49" s="1"/>
      <c r="L49" s="21"/>
    </row>
    <row r="50" spans="1:12" ht="90" x14ac:dyDescent="0.25">
      <c r="A50" s="22"/>
      <c r="B50" s="51"/>
      <c r="C50" s="39" t="s">
        <v>71</v>
      </c>
      <c r="D50" s="52" t="s">
        <v>72</v>
      </c>
      <c r="E50" s="27"/>
      <c r="F50" s="27"/>
      <c r="G50" s="19"/>
      <c r="H50" s="19"/>
      <c r="I50" s="40" t="s">
        <v>82</v>
      </c>
      <c r="J50" s="1"/>
      <c r="L50" s="21"/>
    </row>
    <row r="51" spans="1:12" x14ac:dyDescent="0.25">
      <c r="A51" s="22"/>
      <c r="B51" s="51"/>
      <c r="C51" s="39"/>
      <c r="D51" s="52"/>
      <c r="E51" s="27"/>
      <c r="F51" s="27"/>
      <c r="G51" s="19"/>
      <c r="H51" s="19"/>
      <c r="I51" s="40"/>
      <c r="J51" s="1"/>
      <c r="L51" s="21"/>
    </row>
    <row r="52" spans="1:12" ht="30" x14ac:dyDescent="0.25">
      <c r="A52" s="22"/>
      <c r="B52" s="51"/>
      <c r="C52" s="39" t="s">
        <v>73</v>
      </c>
      <c r="D52" s="52" t="s">
        <v>74</v>
      </c>
      <c r="E52" s="148"/>
      <c r="F52" s="148"/>
      <c r="G52" s="19"/>
      <c r="H52" s="19"/>
      <c r="I52" s="40" t="s">
        <v>82</v>
      </c>
      <c r="J52" s="1"/>
      <c r="L52" s="21"/>
    </row>
    <row r="53" spans="1:12" ht="15.95" customHeight="1" x14ac:dyDescent="0.25">
      <c r="A53" s="22"/>
      <c r="B53" s="51"/>
      <c r="C53" s="39"/>
      <c r="D53" s="52"/>
      <c r="E53" s="148"/>
      <c r="F53" s="148"/>
      <c r="G53" s="19"/>
      <c r="H53" s="19"/>
      <c r="I53" s="40"/>
      <c r="J53" s="1"/>
      <c r="L53" s="21"/>
    </row>
    <row r="54" spans="1:12" x14ac:dyDescent="0.25">
      <c r="A54" s="22"/>
      <c r="B54" s="51"/>
      <c r="C54" s="39" t="s">
        <v>75</v>
      </c>
      <c r="D54" s="52" t="s">
        <v>76</v>
      </c>
      <c r="E54" s="148"/>
      <c r="F54" s="148"/>
      <c r="G54" s="19"/>
      <c r="H54" s="19">
        <v>8</v>
      </c>
      <c r="I54" s="40"/>
      <c r="J54" s="1"/>
      <c r="L54" s="21"/>
    </row>
    <row r="55" spans="1:12" ht="15.95" customHeight="1" x14ac:dyDescent="0.25">
      <c r="A55" s="22"/>
      <c r="B55" s="51"/>
      <c r="C55" s="39"/>
      <c r="D55" s="52"/>
      <c r="E55" s="148"/>
      <c r="F55" s="148"/>
      <c r="G55" s="19"/>
      <c r="H55" s="19"/>
      <c r="I55" s="40"/>
      <c r="J55" s="1"/>
      <c r="L55" s="21"/>
    </row>
    <row r="56" spans="1:12" ht="30" x14ac:dyDescent="0.25">
      <c r="A56" s="22"/>
      <c r="B56" s="46"/>
      <c r="C56" s="39" t="s">
        <v>77</v>
      </c>
      <c r="D56" s="52" t="s">
        <v>78</v>
      </c>
      <c r="E56" s="148"/>
      <c r="F56" s="148"/>
      <c r="G56" s="19"/>
      <c r="H56" s="19"/>
      <c r="I56" s="40" t="s">
        <v>90</v>
      </c>
      <c r="J56" s="1"/>
      <c r="L56" s="21"/>
    </row>
    <row r="57" spans="1:12" ht="17.25" customHeight="1" x14ac:dyDescent="0.25">
      <c r="A57" s="22"/>
      <c r="B57" s="46"/>
      <c r="C57" s="39"/>
      <c r="D57" s="52"/>
      <c r="E57" s="148"/>
      <c r="F57" s="148"/>
      <c r="G57" s="19"/>
      <c r="H57" s="19"/>
      <c r="I57" s="40"/>
      <c r="J57" s="1"/>
      <c r="L57" s="21"/>
    </row>
    <row r="58" spans="1:12" ht="15.95" customHeight="1" x14ac:dyDescent="0.25">
      <c r="A58" s="22"/>
      <c r="B58" s="53"/>
      <c r="C58" s="39" t="s">
        <v>79</v>
      </c>
      <c r="D58" s="52" t="s">
        <v>93</v>
      </c>
      <c r="E58" s="148"/>
      <c r="F58" s="148"/>
      <c r="G58" s="19"/>
      <c r="H58" s="19"/>
      <c r="I58" s="40"/>
      <c r="J58" s="1"/>
      <c r="L58" s="21"/>
    </row>
    <row r="59" spans="1:12" ht="15.95" customHeight="1" x14ac:dyDescent="0.25">
      <c r="A59" s="22"/>
      <c r="B59" s="53"/>
      <c r="C59" s="39"/>
      <c r="D59" s="54"/>
      <c r="E59" s="147"/>
      <c r="F59" s="148"/>
      <c r="G59" s="19"/>
      <c r="H59" s="19"/>
      <c r="I59" s="40"/>
      <c r="J59" s="1"/>
      <c r="L59" s="21"/>
    </row>
    <row r="60" spans="1:12" x14ac:dyDescent="0.25">
      <c r="A60" s="22"/>
      <c r="B60" s="55"/>
      <c r="C60" s="56" t="s">
        <v>91</v>
      </c>
      <c r="D60" s="57"/>
      <c r="E60" s="148"/>
      <c r="F60" s="148"/>
      <c r="G60" s="19"/>
      <c r="H60" s="19"/>
      <c r="I60" s="40" t="s">
        <v>92</v>
      </c>
      <c r="J60" s="1"/>
      <c r="L60" s="21"/>
    </row>
    <row r="61" spans="1:12" x14ac:dyDescent="0.25">
      <c r="A61" s="22"/>
      <c r="B61" s="58"/>
      <c r="C61" s="59"/>
      <c r="D61" s="57"/>
      <c r="E61" s="148"/>
      <c r="F61" s="148"/>
      <c r="G61" s="19"/>
      <c r="H61" s="19"/>
      <c r="I61" s="40"/>
      <c r="J61" s="1"/>
      <c r="L61" s="21"/>
    </row>
    <row r="62" spans="1:12" ht="15" customHeight="1" x14ac:dyDescent="0.25">
      <c r="A62" s="22"/>
      <c r="B62" s="58"/>
      <c r="C62" s="59"/>
      <c r="D62" s="57"/>
      <c r="E62" s="148"/>
      <c r="F62" s="148"/>
      <c r="G62" s="19"/>
      <c r="H62" s="19"/>
      <c r="I62" s="40"/>
      <c r="J62" s="1"/>
      <c r="L62" s="21"/>
    </row>
    <row r="63" spans="1:12" x14ac:dyDescent="0.25">
      <c r="A63" s="22"/>
      <c r="B63" s="15"/>
      <c r="C63" s="60"/>
      <c r="D63" s="61"/>
      <c r="E63" s="147"/>
      <c r="F63" s="148"/>
      <c r="G63" s="19"/>
      <c r="H63" s="19"/>
      <c r="I63" s="40"/>
      <c r="J63" s="1"/>
      <c r="L63" s="21"/>
    </row>
    <row r="64" spans="1:12" x14ac:dyDescent="0.25">
      <c r="A64" s="22"/>
      <c r="B64" s="15"/>
      <c r="C64" s="62"/>
      <c r="D64" s="25"/>
      <c r="E64" s="63"/>
      <c r="F64" s="26"/>
      <c r="G64" s="19"/>
      <c r="H64" s="19"/>
      <c r="I64" s="40"/>
      <c r="J64" s="1"/>
      <c r="L64" s="21"/>
    </row>
    <row r="65" spans="1:1024" ht="15" customHeight="1" x14ac:dyDescent="0.25">
      <c r="A65" s="22"/>
      <c r="B65" s="15"/>
      <c r="C65" s="62"/>
      <c r="D65" s="64"/>
      <c r="E65" s="63"/>
      <c r="F65" s="26"/>
      <c r="G65" s="19"/>
      <c r="H65" s="19"/>
      <c r="I65" s="65"/>
      <c r="J65" s="1"/>
      <c r="L65" s="21"/>
    </row>
    <row r="66" spans="1:1024" ht="15" customHeight="1" x14ac:dyDescent="0.25">
      <c r="A66" s="22"/>
      <c r="B66" s="15"/>
      <c r="C66" s="66"/>
      <c r="E66" s="67"/>
      <c r="F66" s="26"/>
      <c r="G66" s="19"/>
      <c r="H66" s="19"/>
      <c r="I66" s="28"/>
      <c r="J66" s="1"/>
      <c r="L66" s="21"/>
    </row>
    <row r="67" spans="1:1024" ht="15" customHeight="1" x14ac:dyDescent="0.25">
      <c r="A67" s="22"/>
      <c r="B67" s="15"/>
      <c r="C67" s="66"/>
      <c r="D67" s="57"/>
      <c r="E67" s="67"/>
      <c r="F67" s="26"/>
      <c r="G67" s="19"/>
      <c r="H67" s="19"/>
      <c r="I67" s="28"/>
      <c r="J67" s="1"/>
      <c r="L67" s="21"/>
    </row>
    <row r="68" spans="1:1024" ht="15" customHeight="1" x14ac:dyDescent="0.25">
      <c r="A68" s="22"/>
      <c r="B68" s="15"/>
      <c r="C68" s="66"/>
      <c r="D68" s="57"/>
      <c r="E68" s="67"/>
      <c r="F68" s="26"/>
      <c r="G68" s="19"/>
      <c r="H68" s="19"/>
      <c r="I68" s="28"/>
      <c r="J68" s="1"/>
      <c r="L68" s="21"/>
    </row>
    <row r="69" spans="1:1024" ht="15" customHeight="1" x14ac:dyDescent="0.25">
      <c r="A69" s="22"/>
      <c r="B69" s="15"/>
      <c r="C69" s="66"/>
      <c r="D69" s="57"/>
      <c r="E69" s="67"/>
      <c r="F69" s="26"/>
      <c r="G69" s="19"/>
      <c r="H69" s="19"/>
      <c r="I69" s="28"/>
      <c r="J69" s="1"/>
      <c r="L69" s="21"/>
    </row>
    <row r="70" spans="1:1024" x14ac:dyDescent="0.25">
      <c r="A70" s="22"/>
      <c r="B70" s="15"/>
      <c r="C70" s="66"/>
      <c r="D70" s="57"/>
      <c r="E70" s="67"/>
      <c r="F70" s="26"/>
      <c r="G70" s="19"/>
      <c r="H70" s="19"/>
      <c r="I70" s="28"/>
      <c r="J70" s="1"/>
      <c r="L70" s="21"/>
    </row>
    <row r="71" spans="1:1024" x14ac:dyDescent="0.25">
      <c r="A71" s="22"/>
      <c r="B71" s="15"/>
      <c r="C71" s="66"/>
      <c r="D71" s="68"/>
      <c r="E71" s="67"/>
      <c r="F71" s="26"/>
      <c r="G71" s="19"/>
      <c r="H71" s="19"/>
      <c r="I71" s="28"/>
      <c r="J71" s="1"/>
      <c r="L71" s="21"/>
    </row>
    <row r="72" spans="1:1024" ht="15" customHeight="1" x14ac:dyDescent="0.25">
      <c r="A72" s="69"/>
      <c r="B72" s="23"/>
      <c r="C72" s="70"/>
      <c r="D72" s="57"/>
      <c r="E72" s="67"/>
      <c r="F72" s="30"/>
      <c r="G72" s="19"/>
      <c r="H72" s="19"/>
      <c r="I72" s="32"/>
      <c r="J72" s="71"/>
      <c r="K72" s="72"/>
      <c r="L72" s="73"/>
      <c r="M72" s="72"/>
      <c r="N72" s="72"/>
      <c r="O72" s="72"/>
      <c r="P72" s="72"/>
      <c r="Q72" s="72"/>
      <c r="R72" s="72"/>
      <c r="S72" s="72"/>
      <c r="T72" s="72"/>
      <c r="U72" s="72"/>
      <c r="V72" s="72"/>
      <c r="W72" s="72"/>
      <c r="X72" s="72"/>
      <c r="Y72" s="72"/>
      <c r="Z72" s="72"/>
      <c r="AA72" s="72"/>
      <c r="AB72" s="72"/>
      <c r="AC72" s="72"/>
      <c r="AD72" s="72"/>
      <c r="AE72" s="72"/>
      <c r="AF72" s="72"/>
      <c r="AG72" s="72"/>
      <c r="AH72" s="72"/>
      <c r="AI72" s="72"/>
      <c r="AJ72" s="72"/>
      <c r="AK72" s="72"/>
      <c r="AL72" s="72"/>
      <c r="AM72" s="72"/>
      <c r="AN72" s="72"/>
      <c r="AO72" s="72"/>
      <c r="AP72" s="72"/>
      <c r="AQ72" s="72"/>
      <c r="AR72" s="72"/>
      <c r="AS72" s="72"/>
      <c r="AT72" s="72"/>
      <c r="AU72" s="72"/>
      <c r="AV72" s="72"/>
      <c r="AW72" s="72"/>
      <c r="AX72" s="72"/>
      <c r="AY72" s="72"/>
      <c r="AZ72" s="72"/>
      <c r="BA72" s="72"/>
      <c r="BB72" s="72"/>
      <c r="BC72" s="72"/>
      <c r="BD72" s="72"/>
      <c r="BE72" s="72"/>
      <c r="BF72" s="72"/>
      <c r="BG72" s="72"/>
      <c r="BH72" s="72"/>
      <c r="BI72" s="72"/>
      <c r="BJ72" s="72"/>
      <c r="BK72" s="72"/>
      <c r="BL72" s="72"/>
      <c r="BM72" s="72"/>
      <c r="BN72" s="72"/>
      <c r="BO72" s="72"/>
      <c r="BP72" s="72"/>
      <c r="BQ72" s="72"/>
      <c r="BR72" s="72"/>
      <c r="BS72" s="72"/>
      <c r="BT72" s="72"/>
      <c r="BU72" s="72"/>
      <c r="BV72" s="72"/>
      <c r="BW72" s="72"/>
      <c r="BX72" s="72"/>
      <c r="BY72" s="72"/>
      <c r="BZ72" s="72"/>
      <c r="CA72" s="72"/>
      <c r="CB72" s="72"/>
      <c r="CC72" s="72"/>
      <c r="CD72" s="72"/>
      <c r="CE72" s="72"/>
      <c r="CF72" s="72"/>
      <c r="CG72" s="72"/>
      <c r="CH72" s="72"/>
      <c r="CI72" s="72"/>
      <c r="CJ72" s="72"/>
      <c r="CK72" s="72"/>
      <c r="CL72" s="72"/>
      <c r="CM72" s="72"/>
      <c r="CN72" s="72"/>
      <c r="CO72" s="72"/>
      <c r="CP72" s="72"/>
      <c r="CQ72" s="72"/>
      <c r="CR72" s="72"/>
      <c r="CS72" s="72"/>
      <c r="CT72" s="72"/>
      <c r="CU72" s="72"/>
      <c r="CV72" s="72"/>
      <c r="CW72" s="72"/>
      <c r="CX72" s="72"/>
      <c r="CY72" s="72"/>
      <c r="CZ72" s="72"/>
      <c r="DA72" s="72"/>
      <c r="DB72" s="72"/>
      <c r="DC72" s="72"/>
      <c r="DD72" s="72"/>
      <c r="DE72" s="72"/>
      <c r="DF72" s="72"/>
      <c r="DG72" s="72"/>
      <c r="DH72" s="72"/>
      <c r="DI72" s="72"/>
      <c r="DJ72" s="72"/>
      <c r="DK72" s="72"/>
      <c r="DL72" s="72"/>
      <c r="DM72" s="72"/>
      <c r="DN72" s="72"/>
      <c r="DO72" s="72"/>
      <c r="DP72" s="72"/>
      <c r="DQ72" s="72"/>
      <c r="DR72" s="72"/>
      <c r="DS72" s="72"/>
      <c r="DT72" s="72"/>
      <c r="DU72" s="72"/>
      <c r="DV72" s="72"/>
      <c r="DW72" s="72"/>
      <c r="DX72" s="72"/>
      <c r="DY72" s="72"/>
      <c r="DZ72" s="72"/>
      <c r="EA72" s="72"/>
      <c r="EB72" s="72"/>
      <c r="EC72" s="72"/>
      <c r="ED72" s="72"/>
      <c r="EE72" s="72"/>
      <c r="EF72" s="72"/>
      <c r="EG72" s="72"/>
      <c r="EH72" s="72"/>
      <c r="EI72" s="72"/>
      <c r="EJ72" s="72"/>
      <c r="EK72" s="72"/>
      <c r="EL72" s="72"/>
      <c r="EM72" s="72"/>
      <c r="EN72" s="72"/>
      <c r="EO72" s="72"/>
      <c r="EP72" s="72"/>
      <c r="EQ72" s="72"/>
      <c r="ER72" s="72"/>
      <c r="ES72" s="72"/>
      <c r="ET72" s="72"/>
      <c r="EU72" s="72"/>
      <c r="EV72" s="72"/>
      <c r="EW72" s="72"/>
      <c r="EX72" s="72"/>
      <c r="EY72" s="72"/>
      <c r="EZ72" s="72"/>
      <c r="FA72" s="72"/>
      <c r="FB72" s="72"/>
      <c r="FC72" s="72"/>
      <c r="FD72" s="72"/>
      <c r="FE72" s="72"/>
      <c r="FF72" s="72"/>
      <c r="FG72" s="72"/>
      <c r="FH72" s="72"/>
      <c r="FI72" s="72"/>
      <c r="FJ72" s="72"/>
      <c r="FK72" s="72"/>
      <c r="FL72" s="72"/>
      <c r="FM72" s="72"/>
      <c r="FN72" s="72"/>
      <c r="FO72" s="72"/>
      <c r="FP72" s="72"/>
      <c r="FQ72" s="72"/>
      <c r="FR72" s="72"/>
      <c r="FS72" s="72"/>
      <c r="FT72" s="72"/>
      <c r="FU72" s="72"/>
      <c r="FV72" s="72"/>
      <c r="FW72" s="72"/>
      <c r="FX72" s="72"/>
      <c r="FY72" s="72"/>
      <c r="FZ72" s="72"/>
      <c r="GA72" s="72"/>
      <c r="GB72" s="72"/>
      <c r="GC72" s="72"/>
      <c r="GD72" s="72"/>
      <c r="GE72" s="72"/>
      <c r="GF72" s="72"/>
      <c r="GG72" s="72"/>
      <c r="GH72" s="72"/>
      <c r="GI72" s="72"/>
      <c r="GJ72" s="72"/>
      <c r="GK72" s="72"/>
      <c r="GL72" s="72"/>
      <c r="GM72" s="72"/>
      <c r="GN72" s="72"/>
      <c r="GO72" s="72"/>
      <c r="GP72" s="72"/>
      <c r="GQ72" s="72"/>
      <c r="GR72" s="72"/>
      <c r="GS72" s="72"/>
      <c r="GT72" s="72"/>
      <c r="GU72" s="72"/>
      <c r="GV72" s="72"/>
      <c r="GW72" s="72"/>
      <c r="GX72" s="72"/>
      <c r="GY72" s="72"/>
      <c r="GZ72" s="72"/>
      <c r="HA72" s="72"/>
      <c r="HB72" s="72"/>
      <c r="HC72" s="72"/>
      <c r="HD72" s="72"/>
      <c r="HE72" s="72"/>
      <c r="HF72" s="72"/>
      <c r="HG72" s="72"/>
      <c r="HH72" s="72"/>
      <c r="HI72" s="72"/>
      <c r="HJ72" s="72"/>
      <c r="HK72" s="72"/>
      <c r="HL72" s="72"/>
      <c r="HM72" s="72"/>
      <c r="HN72" s="72"/>
      <c r="HO72" s="72"/>
      <c r="HP72" s="72"/>
      <c r="HQ72" s="72"/>
      <c r="HR72" s="72"/>
      <c r="HS72" s="72"/>
      <c r="HT72" s="72"/>
      <c r="HU72" s="72"/>
      <c r="HV72" s="72"/>
      <c r="HW72" s="72"/>
      <c r="HX72" s="72"/>
      <c r="HY72" s="72"/>
      <c r="HZ72" s="72"/>
      <c r="IA72" s="72"/>
      <c r="IB72" s="72"/>
      <c r="IC72" s="72"/>
      <c r="ID72" s="72"/>
      <c r="IE72" s="72"/>
      <c r="IF72" s="72"/>
      <c r="IG72" s="72"/>
      <c r="IH72" s="72"/>
      <c r="II72" s="72"/>
      <c r="IJ72" s="72"/>
      <c r="IK72" s="72"/>
      <c r="IL72" s="72"/>
      <c r="IM72" s="72"/>
      <c r="IN72" s="72"/>
      <c r="IO72" s="72"/>
      <c r="IP72" s="72"/>
      <c r="IQ72" s="72"/>
      <c r="IR72" s="74"/>
      <c r="IS72" s="74"/>
      <c r="IT72" s="74"/>
      <c r="IU72" s="74"/>
      <c r="IV72" s="74"/>
      <c r="IW72" s="74"/>
      <c r="IX72" s="74"/>
      <c r="IY72" s="74"/>
      <c r="IZ72" s="74"/>
      <c r="JA72" s="74"/>
      <c r="JB72" s="74"/>
      <c r="JC72" s="74"/>
      <c r="JD72" s="74"/>
      <c r="JE72" s="74"/>
      <c r="JF72" s="74"/>
      <c r="JG72" s="74"/>
      <c r="JH72" s="74"/>
      <c r="JI72" s="74"/>
      <c r="JJ72" s="74"/>
      <c r="JK72" s="74"/>
      <c r="JL72" s="74"/>
      <c r="JM72" s="74"/>
      <c r="JN72" s="74"/>
      <c r="JO72" s="74"/>
      <c r="JP72" s="74"/>
      <c r="JQ72" s="74"/>
      <c r="JR72" s="74"/>
      <c r="JS72" s="74"/>
      <c r="JT72" s="74"/>
      <c r="JU72" s="74"/>
      <c r="JV72" s="74"/>
      <c r="JW72" s="74"/>
      <c r="JX72" s="74"/>
      <c r="JY72" s="74"/>
      <c r="JZ72" s="74"/>
      <c r="KA72" s="74"/>
      <c r="KB72" s="74"/>
      <c r="KC72" s="74"/>
      <c r="KD72" s="74"/>
      <c r="KE72" s="74"/>
      <c r="KF72" s="74"/>
      <c r="KG72" s="74"/>
      <c r="KH72" s="74"/>
      <c r="KI72" s="74"/>
      <c r="KJ72" s="74"/>
      <c r="KK72" s="74"/>
      <c r="KL72" s="74"/>
      <c r="KM72" s="74"/>
      <c r="KN72" s="74"/>
      <c r="KO72" s="74"/>
      <c r="KP72" s="74"/>
      <c r="KQ72" s="74"/>
      <c r="KR72" s="74"/>
      <c r="KS72" s="74"/>
      <c r="KT72" s="74"/>
      <c r="KU72" s="74"/>
      <c r="KV72" s="74"/>
      <c r="KW72" s="74"/>
      <c r="KX72" s="74"/>
      <c r="KY72" s="74"/>
      <c r="KZ72" s="74"/>
      <c r="LA72" s="74"/>
      <c r="LB72" s="74"/>
      <c r="LC72" s="74"/>
      <c r="LD72" s="74"/>
      <c r="LE72" s="74"/>
      <c r="LF72" s="74"/>
      <c r="LG72" s="74"/>
      <c r="LH72" s="74"/>
      <c r="LI72" s="74"/>
      <c r="LJ72" s="74"/>
      <c r="LK72" s="74"/>
      <c r="LL72" s="74"/>
      <c r="LM72" s="74"/>
      <c r="LN72" s="74"/>
      <c r="LO72" s="74"/>
      <c r="LP72" s="74"/>
      <c r="LQ72" s="74"/>
      <c r="LR72" s="74"/>
      <c r="LS72" s="74"/>
      <c r="LT72" s="74"/>
      <c r="LU72" s="74"/>
      <c r="LV72" s="74"/>
      <c r="LW72" s="74"/>
      <c r="LX72" s="74"/>
      <c r="LY72" s="74"/>
      <c r="LZ72" s="74"/>
      <c r="MA72" s="74"/>
      <c r="MB72" s="74"/>
      <c r="MC72" s="74"/>
      <c r="MD72" s="74"/>
      <c r="ME72" s="74"/>
      <c r="MF72" s="74"/>
      <c r="MG72" s="74"/>
      <c r="MH72" s="74"/>
      <c r="MI72" s="74"/>
      <c r="MJ72" s="74"/>
      <c r="MK72" s="74"/>
      <c r="ML72" s="74"/>
      <c r="MM72" s="74"/>
      <c r="MN72" s="74"/>
      <c r="MO72" s="74"/>
      <c r="MP72" s="74"/>
      <c r="MQ72" s="74"/>
      <c r="MR72" s="74"/>
      <c r="MS72" s="74"/>
      <c r="MT72" s="74"/>
      <c r="MU72" s="74"/>
      <c r="MV72" s="74"/>
      <c r="MW72" s="74"/>
      <c r="MX72" s="74"/>
      <c r="MY72" s="74"/>
      <c r="MZ72" s="74"/>
      <c r="NA72" s="74"/>
      <c r="NB72" s="74"/>
      <c r="NC72" s="74"/>
      <c r="ND72" s="74"/>
      <c r="NE72" s="74"/>
      <c r="NF72" s="74"/>
      <c r="NG72" s="74"/>
      <c r="NH72" s="74"/>
      <c r="NI72" s="74"/>
      <c r="NJ72" s="74"/>
      <c r="NK72" s="74"/>
      <c r="NL72" s="74"/>
      <c r="NM72" s="74"/>
      <c r="NN72" s="74"/>
      <c r="NO72" s="74"/>
      <c r="NP72" s="74"/>
      <c r="NQ72" s="74"/>
      <c r="NR72" s="74"/>
      <c r="NS72" s="74"/>
      <c r="NT72" s="74"/>
      <c r="NU72" s="74"/>
      <c r="NV72" s="74"/>
      <c r="NW72" s="74"/>
      <c r="NX72" s="74"/>
      <c r="NY72" s="74"/>
      <c r="NZ72" s="74"/>
      <c r="OA72" s="74"/>
      <c r="OB72" s="74"/>
      <c r="OC72" s="74"/>
      <c r="OD72" s="74"/>
      <c r="OE72" s="74"/>
      <c r="OF72" s="74"/>
      <c r="OG72" s="74"/>
      <c r="OH72" s="74"/>
      <c r="OI72" s="74"/>
      <c r="OJ72" s="74"/>
      <c r="OK72" s="74"/>
      <c r="OL72" s="74"/>
      <c r="OM72" s="74"/>
      <c r="ON72" s="74"/>
      <c r="OO72" s="74"/>
      <c r="OP72" s="74"/>
      <c r="OQ72" s="74"/>
      <c r="OR72" s="74"/>
      <c r="OS72" s="74"/>
      <c r="OT72" s="74"/>
      <c r="OU72" s="74"/>
      <c r="OV72" s="74"/>
      <c r="OW72" s="74"/>
      <c r="OX72" s="74"/>
      <c r="OY72" s="74"/>
      <c r="OZ72" s="74"/>
      <c r="PA72" s="74"/>
      <c r="PB72" s="74"/>
      <c r="PC72" s="74"/>
      <c r="PD72" s="74"/>
      <c r="PE72" s="74"/>
      <c r="PF72" s="74"/>
      <c r="PG72" s="74"/>
      <c r="PH72" s="74"/>
      <c r="PI72" s="74"/>
      <c r="PJ72" s="74"/>
      <c r="PK72" s="74"/>
      <c r="PL72" s="74"/>
      <c r="PM72" s="74"/>
      <c r="PN72" s="74"/>
      <c r="PO72" s="74"/>
      <c r="PP72" s="74"/>
      <c r="PQ72" s="74"/>
      <c r="PR72" s="74"/>
      <c r="PS72" s="74"/>
      <c r="PT72" s="74"/>
      <c r="PU72" s="74"/>
      <c r="PV72" s="74"/>
      <c r="PW72" s="74"/>
      <c r="PX72" s="74"/>
      <c r="PY72" s="74"/>
      <c r="PZ72" s="74"/>
      <c r="QA72" s="74"/>
      <c r="QB72" s="74"/>
      <c r="QC72" s="74"/>
      <c r="QD72" s="74"/>
      <c r="QE72" s="74"/>
      <c r="QF72" s="74"/>
      <c r="QG72" s="74"/>
      <c r="QH72" s="74"/>
      <c r="QI72" s="74"/>
      <c r="QJ72" s="74"/>
      <c r="QK72" s="74"/>
      <c r="QL72" s="74"/>
      <c r="QM72" s="74"/>
      <c r="QN72" s="74"/>
      <c r="QO72" s="74"/>
      <c r="QP72" s="74"/>
      <c r="QQ72" s="74"/>
      <c r="QR72" s="74"/>
      <c r="QS72" s="74"/>
      <c r="QT72" s="74"/>
      <c r="QU72" s="74"/>
      <c r="QV72" s="74"/>
      <c r="QW72" s="74"/>
      <c r="QX72" s="74"/>
      <c r="QY72" s="74"/>
      <c r="QZ72" s="74"/>
      <c r="RA72" s="74"/>
      <c r="RB72" s="74"/>
      <c r="RC72" s="74"/>
      <c r="RD72" s="74"/>
      <c r="RE72" s="74"/>
      <c r="RF72" s="74"/>
      <c r="RG72" s="74"/>
      <c r="RH72" s="74"/>
      <c r="RI72" s="74"/>
      <c r="RJ72" s="74"/>
      <c r="RK72" s="74"/>
      <c r="RL72" s="74"/>
      <c r="RM72" s="74"/>
      <c r="RN72" s="74"/>
      <c r="RO72" s="74"/>
      <c r="RP72" s="74"/>
      <c r="RQ72" s="74"/>
      <c r="RR72" s="74"/>
      <c r="RS72" s="74"/>
      <c r="RT72" s="74"/>
      <c r="RU72" s="74"/>
      <c r="RV72" s="74"/>
      <c r="RW72" s="74"/>
      <c r="RX72" s="74"/>
      <c r="RY72" s="74"/>
      <c r="RZ72" s="74"/>
      <c r="SA72" s="74"/>
      <c r="SB72" s="74"/>
      <c r="SC72" s="74"/>
      <c r="SD72" s="74"/>
      <c r="SE72" s="74"/>
      <c r="SF72" s="74"/>
      <c r="SG72" s="74"/>
      <c r="SH72" s="74"/>
      <c r="SI72" s="74"/>
      <c r="SJ72" s="74"/>
      <c r="SK72" s="74"/>
      <c r="SL72" s="74"/>
      <c r="SM72" s="74"/>
      <c r="SN72" s="74"/>
      <c r="SO72" s="74"/>
      <c r="SP72" s="74"/>
      <c r="SQ72" s="74"/>
      <c r="SR72" s="74"/>
      <c r="SS72" s="74"/>
      <c r="ST72" s="74"/>
      <c r="SU72" s="74"/>
      <c r="SV72" s="74"/>
      <c r="SW72" s="74"/>
      <c r="SX72" s="74"/>
      <c r="SY72" s="74"/>
      <c r="SZ72" s="74"/>
      <c r="TA72" s="74"/>
      <c r="TB72" s="74"/>
      <c r="TC72" s="74"/>
      <c r="TD72" s="74"/>
      <c r="TE72" s="74"/>
      <c r="TF72" s="74"/>
      <c r="TG72" s="74"/>
      <c r="TH72" s="74"/>
      <c r="TI72" s="74"/>
      <c r="TJ72" s="74"/>
      <c r="TK72" s="74"/>
      <c r="TL72" s="74"/>
      <c r="TM72" s="74"/>
      <c r="TN72" s="74"/>
      <c r="TO72" s="74"/>
      <c r="TP72" s="74"/>
      <c r="TQ72" s="74"/>
      <c r="TR72" s="74"/>
      <c r="TS72" s="74"/>
      <c r="TT72" s="74"/>
      <c r="TU72" s="74"/>
      <c r="TV72" s="74"/>
      <c r="TW72" s="74"/>
      <c r="TX72" s="74"/>
      <c r="TY72" s="74"/>
      <c r="TZ72" s="74"/>
      <c r="UA72" s="74"/>
      <c r="UB72" s="74"/>
      <c r="UC72" s="74"/>
      <c r="UD72" s="74"/>
      <c r="UE72" s="74"/>
      <c r="UF72" s="74"/>
      <c r="UG72" s="74"/>
      <c r="UH72" s="74"/>
      <c r="UI72" s="74"/>
      <c r="UJ72" s="74"/>
      <c r="UK72" s="74"/>
      <c r="UL72" s="74"/>
      <c r="UM72" s="74"/>
      <c r="UN72" s="74"/>
      <c r="UO72" s="74"/>
      <c r="UP72" s="74"/>
      <c r="UQ72" s="74"/>
      <c r="UR72" s="74"/>
      <c r="US72" s="74"/>
      <c r="UT72" s="74"/>
      <c r="UU72" s="74"/>
      <c r="UV72" s="74"/>
      <c r="UW72" s="74"/>
      <c r="UX72" s="74"/>
      <c r="UY72" s="74"/>
      <c r="UZ72" s="74"/>
      <c r="VA72" s="74"/>
      <c r="VB72" s="74"/>
      <c r="VC72" s="74"/>
      <c r="VD72" s="74"/>
      <c r="VE72" s="74"/>
      <c r="VF72" s="74"/>
      <c r="VG72" s="74"/>
      <c r="VH72" s="74"/>
      <c r="VI72" s="74"/>
      <c r="VJ72" s="74"/>
      <c r="VK72" s="74"/>
      <c r="VL72" s="74"/>
      <c r="VM72" s="74"/>
      <c r="VN72" s="74"/>
      <c r="VO72" s="74"/>
      <c r="VP72" s="74"/>
      <c r="VQ72" s="74"/>
      <c r="VR72" s="74"/>
      <c r="VS72" s="74"/>
      <c r="VT72" s="74"/>
      <c r="VU72" s="74"/>
      <c r="VV72" s="74"/>
      <c r="VW72" s="74"/>
      <c r="VX72" s="74"/>
      <c r="VY72" s="74"/>
      <c r="VZ72" s="74"/>
      <c r="WA72" s="74"/>
      <c r="WB72" s="74"/>
      <c r="WC72" s="74"/>
      <c r="WD72" s="74"/>
      <c r="WE72" s="74"/>
      <c r="WF72" s="74"/>
      <c r="WG72" s="74"/>
      <c r="WH72" s="74"/>
      <c r="WI72" s="74"/>
      <c r="WJ72" s="74"/>
      <c r="WK72" s="74"/>
      <c r="WL72" s="74"/>
      <c r="WM72" s="74"/>
      <c r="WN72" s="74"/>
      <c r="WO72" s="74"/>
      <c r="WP72" s="74"/>
      <c r="WQ72" s="74"/>
      <c r="WR72" s="74"/>
      <c r="WS72" s="74"/>
      <c r="WT72" s="74"/>
      <c r="WU72" s="74"/>
      <c r="WV72" s="74"/>
      <c r="WW72" s="74"/>
      <c r="WX72" s="74"/>
      <c r="WY72" s="74"/>
      <c r="WZ72" s="74"/>
      <c r="XA72" s="74"/>
      <c r="XB72" s="74"/>
      <c r="XC72" s="74"/>
      <c r="XD72" s="74"/>
      <c r="XE72" s="74"/>
      <c r="XF72" s="74"/>
      <c r="XG72" s="74"/>
      <c r="XH72" s="74"/>
      <c r="XI72" s="74"/>
      <c r="XJ72" s="74"/>
      <c r="XK72" s="74"/>
      <c r="XL72" s="74"/>
      <c r="XM72" s="74"/>
      <c r="XN72" s="74"/>
      <c r="XO72" s="74"/>
      <c r="XP72" s="74"/>
      <c r="XQ72" s="74"/>
      <c r="XR72" s="74"/>
      <c r="XS72" s="74"/>
      <c r="XT72" s="74"/>
      <c r="XU72" s="74"/>
      <c r="XV72" s="74"/>
      <c r="XW72" s="74"/>
      <c r="XX72" s="74"/>
      <c r="XY72" s="74"/>
      <c r="XZ72" s="74"/>
      <c r="YA72" s="74"/>
      <c r="YB72" s="74"/>
      <c r="YC72" s="74"/>
      <c r="YD72" s="74"/>
      <c r="YE72" s="74"/>
      <c r="YF72" s="74"/>
      <c r="YG72" s="74"/>
      <c r="YH72" s="74"/>
      <c r="YI72" s="74"/>
      <c r="YJ72" s="74"/>
      <c r="YK72" s="74"/>
      <c r="YL72" s="74"/>
      <c r="YM72" s="74"/>
      <c r="YN72" s="74"/>
      <c r="YO72" s="74"/>
      <c r="YP72" s="74"/>
      <c r="YQ72" s="74"/>
      <c r="YR72" s="74"/>
      <c r="YS72" s="74"/>
      <c r="YT72" s="74"/>
      <c r="YU72" s="74"/>
      <c r="YV72" s="74"/>
      <c r="YW72" s="74"/>
      <c r="YX72" s="74"/>
      <c r="YY72" s="74"/>
      <c r="YZ72" s="74"/>
      <c r="ZA72" s="74"/>
      <c r="ZB72" s="74"/>
      <c r="ZC72" s="74"/>
      <c r="ZD72" s="74"/>
      <c r="ZE72" s="74"/>
      <c r="ZF72" s="74"/>
      <c r="ZG72" s="74"/>
      <c r="ZH72" s="74"/>
      <c r="ZI72" s="74"/>
      <c r="ZJ72" s="74"/>
      <c r="ZK72" s="74"/>
      <c r="ZL72" s="74"/>
      <c r="ZM72" s="74"/>
      <c r="ZN72" s="74"/>
      <c r="ZO72" s="74"/>
      <c r="ZP72" s="74"/>
      <c r="ZQ72" s="74"/>
      <c r="ZR72" s="74"/>
      <c r="ZS72" s="74"/>
      <c r="ZT72" s="74"/>
      <c r="ZU72" s="74"/>
      <c r="ZV72" s="74"/>
      <c r="ZW72" s="74"/>
      <c r="ZX72" s="74"/>
      <c r="ZY72" s="74"/>
      <c r="ZZ72" s="74"/>
      <c r="AAA72" s="74"/>
      <c r="AAB72" s="74"/>
      <c r="AAC72" s="74"/>
      <c r="AAD72" s="74"/>
      <c r="AAE72" s="74"/>
      <c r="AAF72" s="74"/>
      <c r="AAG72" s="74"/>
      <c r="AAH72" s="74"/>
      <c r="AAI72" s="74"/>
      <c r="AAJ72" s="74"/>
      <c r="AAK72" s="74"/>
      <c r="AAL72" s="74"/>
      <c r="AAM72" s="74"/>
      <c r="AAN72" s="74"/>
      <c r="AAO72" s="74"/>
      <c r="AAP72" s="74"/>
      <c r="AAQ72" s="74"/>
      <c r="AAR72" s="74"/>
      <c r="AAS72" s="74"/>
      <c r="AAT72" s="74"/>
      <c r="AAU72" s="74"/>
      <c r="AAV72" s="74"/>
      <c r="AAW72" s="74"/>
      <c r="AAX72" s="74"/>
      <c r="AAY72" s="74"/>
      <c r="AAZ72" s="74"/>
      <c r="ABA72" s="74"/>
      <c r="ABB72" s="74"/>
      <c r="ABC72" s="74"/>
      <c r="ABD72" s="74"/>
      <c r="ABE72" s="74"/>
      <c r="ABF72" s="74"/>
      <c r="ABG72" s="74"/>
      <c r="ABH72" s="74"/>
      <c r="ABI72" s="74"/>
      <c r="ABJ72" s="74"/>
      <c r="ABK72" s="74"/>
      <c r="ABL72" s="74"/>
      <c r="ABM72" s="74"/>
      <c r="ABN72" s="74"/>
      <c r="ABO72" s="74"/>
      <c r="ABP72" s="74"/>
      <c r="ABQ72" s="74"/>
      <c r="ABR72" s="74"/>
      <c r="ABS72" s="74"/>
      <c r="ABT72" s="74"/>
      <c r="ABU72" s="74"/>
      <c r="ABV72" s="74"/>
      <c r="ABW72" s="74"/>
      <c r="ABX72" s="74"/>
      <c r="ABY72" s="74"/>
      <c r="ABZ72" s="74"/>
      <c r="ACA72" s="74"/>
      <c r="ACB72" s="74"/>
      <c r="ACC72" s="74"/>
      <c r="ACD72" s="74"/>
      <c r="ACE72" s="74"/>
      <c r="ACF72" s="74"/>
      <c r="ACG72" s="74"/>
      <c r="ACH72" s="74"/>
      <c r="ACI72" s="74"/>
      <c r="ACJ72" s="74"/>
      <c r="ACK72" s="74"/>
      <c r="ACL72" s="74"/>
      <c r="ACM72" s="74"/>
      <c r="ACN72" s="74"/>
      <c r="ACO72" s="74"/>
      <c r="ACP72" s="74"/>
      <c r="ACQ72" s="74"/>
      <c r="ACR72" s="74"/>
      <c r="ACS72" s="74"/>
      <c r="ACT72" s="74"/>
      <c r="ACU72" s="74"/>
      <c r="ACV72" s="74"/>
      <c r="ACW72" s="74"/>
      <c r="ACX72" s="74"/>
      <c r="ACY72" s="74"/>
      <c r="ACZ72" s="74"/>
      <c r="ADA72" s="74"/>
      <c r="ADB72" s="74"/>
      <c r="ADC72" s="74"/>
      <c r="ADD72" s="74"/>
      <c r="ADE72" s="74"/>
      <c r="ADF72" s="74"/>
      <c r="ADG72" s="74"/>
      <c r="ADH72" s="74"/>
      <c r="ADI72" s="74"/>
      <c r="ADJ72" s="74"/>
      <c r="ADK72" s="74"/>
      <c r="ADL72" s="74"/>
      <c r="ADM72" s="74"/>
      <c r="ADN72" s="74"/>
      <c r="ADO72" s="74"/>
      <c r="ADP72" s="74"/>
      <c r="ADQ72" s="74"/>
      <c r="ADR72" s="74"/>
      <c r="ADS72" s="74"/>
      <c r="ADT72" s="74"/>
      <c r="ADU72" s="74"/>
      <c r="ADV72" s="74"/>
      <c r="ADW72" s="74"/>
      <c r="ADX72" s="74"/>
      <c r="ADY72" s="74"/>
      <c r="ADZ72" s="74"/>
      <c r="AEA72" s="74"/>
      <c r="AEB72" s="74"/>
      <c r="AEC72" s="74"/>
      <c r="AED72" s="74"/>
      <c r="AEE72" s="74"/>
      <c r="AEF72" s="74"/>
      <c r="AEG72" s="74"/>
      <c r="AEH72" s="74"/>
      <c r="AEI72" s="74"/>
      <c r="AEJ72" s="74"/>
      <c r="AEK72" s="74"/>
      <c r="AEL72" s="74"/>
      <c r="AEM72" s="74"/>
      <c r="AEN72" s="74"/>
      <c r="AEO72" s="74"/>
      <c r="AEP72" s="74"/>
      <c r="AEQ72" s="74"/>
      <c r="AER72" s="74"/>
      <c r="AES72" s="74"/>
      <c r="AET72" s="74"/>
      <c r="AEU72" s="74"/>
      <c r="AEV72" s="74"/>
      <c r="AEW72" s="74"/>
      <c r="AEX72" s="74"/>
      <c r="AEY72" s="74"/>
      <c r="AEZ72" s="74"/>
      <c r="AFA72" s="74"/>
      <c r="AFB72" s="74"/>
      <c r="AFC72" s="74"/>
      <c r="AFD72" s="74"/>
      <c r="AFE72" s="74"/>
      <c r="AFF72" s="74"/>
      <c r="AFG72" s="74"/>
      <c r="AFH72" s="74"/>
      <c r="AFI72" s="74"/>
      <c r="AFJ72" s="74"/>
      <c r="AFK72" s="74"/>
      <c r="AFL72" s="74"/>
      <c r="AFM72" s="74"/>
      <c r="AFN72" s="74"/>
      <c r="AFO72" s="74"/>
      <c r="AFP72" s="74"/>
      <c r="AFQ72" s="74"/>
      <c r="AFR72" s="74"/>
      <c r="AFS72" s="74"/>
      <c r="AFT72" s="74"/>
      <c r="AFU72" s="74"/>
      <c r="AFV72" s="74"/>
      <c r="AFW72" s="74"/>
      <c r="AFX72" s="74"/>
      <c r="AFY72" s="74"/>
      <c r="AFZ72" s="74"/>
      <c r="AGA72" s="74"/>
      <c r="AGB72" s="74"/>
      <c r="AGC72" s="74"/>
      <c r="AGD72" s="74"/>
      <c r="AGE72" s="74"/>
      <c r="AGF72" s="74"/>
      <c r="AGG72" s="74"/>
      <c r="AGH72" s="74"/>
      <c r="AGI72" s="74"/>
      <c r="AGJ72" s="74"/>
      <c r="AGK72" s="74"/>
      <c r="AGL72" s="74"/>
      <c r="AGM72" s="74"/>
      <c r="AGN72" s="74"/>
      <c r="AGO72" s="74"/>
      <c r="AGP72" s="74"/>
      <c r="AGQ72" s="74"/>
      <c r="AGR72" s="74"/>
      <c r="AGS72" s="74"/>
      <c r="AGT72" s="74"/>
      <c r="AGU72" s="74"/>
      <c r="AGV72" s="74"/>
      <c r="AGW72" s="74"/>
      <c r="AGX72" s="74"/>
      <c r="AGY72" s="74"/>
      <c r="AGZ72" s="74"/>
      <c r="AHA72" s="74"/>
      <c r="AHB72" s="74"/>
      <c r="AHC72" s="74"/>
      <c r="AHD72" s="74"/>
      <c r="AHE72" s="74"/>
      <c r="AHF72" s="74"/>
      <c r="AHG72" s="74"/>
      <c r="AHH72" s="74"/>
      <c r="AHI72" s="74"/>
      <c r="AHJ72" s="74"/>
      <c r="AHK72" s="74"/>
      <c r="AHL72" s="74"/>
      <c r="AHM72" s="74"/>
      <c r="AHN72" s="74"/>
      <c r="AHO72" s="74"/>
      <c r="AHP72" s="74"/>
      <c r="AHQ72" s="74"/>
      <c r="AHR72" s="74"/>
      <c r="AHS72" s="74"/>
      <c r="AHT72" s="74"/>
      <c r="AHU72" s="74"/>
      <c r="AHV72" s="74"/>
      <c r="AHW72" s="74"/>
      <c r="AHX72" s="74"/>
      <c r="AHY72" s="74"/>
      <c r="AHZ72" s="74"/>
      <c r="AIA72" s="74"/>
      <c r="AIB72" s="74"/>
      <c r="AIC72" s="74"/>
      <c r="AID72" s="74"/>
      <c r="AIE72" s="74"/>
      <c r="AIF72" s="74"/>
      <c r="AIG72" s="74"/>
      <c r="AIH72" s="74"/>
      <c r="AII72" s="74"/>
      <c r="AIJ72" s="74"/>
      <c r="AIK72" s="74"/>
      <c r="AIL72" s="74"/>
      <c r="AIM72" s="74"/>
      <c r="AIN72" s="74"/>
      <c r="AIO72" s="74"/>
      <c r="AIP72" s="74"/>
      <c r="AIQ72" s="74"/>
      <c r="AIR72" s="74"/>
      <c r="AIS72" s="74"/>
      <c r="AIT72" s="74"/>
      <c r="AIU72" s="74"/>
      <c r="AIV72" s="74"/>
      <c r="AIW72" s="74"/>
      <c r="AIX72" s="74"/>
      <c r="AIY72" s="74"/>
      <c r="AIZ72" s="74"/>
      <c r="AJA72" s="74"/>
      <c r="AJB72" s="74"/>
      <c r="AJC72" s="74"/>
      <c r="AJD72" s="74"/>
      <c r="AJE72" s="74"/>
      <c r="AJF72" s="74"/>
      <c r="AJG72" s="74"/>
      <c r="AJH72" s="74"/>
      <c r="AJI72" s="74"/>
      <c r="AJJ72" s="74"/>
      <c r="AJK72" s="74"/>
      <c r="AJL72" s="74"/>
      <c r="AJM72" s="74"/>
      <c r="AJN72" s="74"/>
      <c r="AJO72" s="74"/>
      <c r="AJP72" s="74"/>
      <c r="AJQ72" s="74"/>
      <c r="AJR72" s="74"/>
      <c r="AJS72" s="74"/>
      <c r="AJT72" s="74"/>
      <c r="AJU72" s="74"/>
      <c r="AJV72" s="74"/>
      <c r="AJW72" s="74"/>
      <c r="AJX72" s="74"/>
      <c r="AJY72" s="74"/>
      <c r="AJZ72" s="74"/>
      <c r="AKA72" s="74"/>
      <c r="AKB72" s="74"/>
      <c r="AKC72" s="74"/>
      <c r="AKD72" s="74"/>
      <c r="AKE72" s="74"/>
      <c r="AKF72" s="74"/>
      <c r="AKG72" s="74"/>
      <c r="AKH72" s="74"/>
      <c r="AKI72" s="74"/>
      <c r="AKJ72" s="74"/>
      <c r="AKK72" s="74"/>
      <c r="AKL72" s="74"/>
      <c r="AKM72" s="74"/>
      <c r="AKN72" s="74"/>
      <c r="AKO72" s="74"/>
      <c r="AKP72" s="74"/>
      <c r="AKQ72" s="74"/>
      <c r="AKR72" s="74"/>
      <c r="AKS72" s="74"/>
      <c r="AKT72" s="74"/>
      <c r="AKU72" s="74"/>
      <c r="AKV72" s="74"/>
      <c r="AKW72" s="74"/>
      <c r="AKX72" s="74"/>
      <c r="AKY72" s="74"/>
      <c r="AKZ72" s="74"/>
      <c r="ALA72" s="74"/>
      <c r="ALB72" s="74"/>
      <c r="ALC72" s="74"/>
      <c r="ALD72" s="74"/>
      <c r="ALE72" s="74"/>
      <c r="ALF72" s="74"/>
      <c r="ALG72" s="74"/>
      <c r="ALH72" s="74"/>
      <c r="ALI72" s="74"/>
      <c r="ALJ72" s="74"/>
      <c r="ALK72" s="74"/>
      <c r="ALL72" s="74"/>
      <c r="ALM72" s="74"/>
      <c r="ALN72" s="74"/>
      <c r="ALO72" s="74"/>
      <c r="ALP72" s="74"/>
      <c r="ALQ72" s="74"/>
      <c r="ALR72" s="74"/>
      <c r="ALS72" s="74"/>
      <c r="ALT72" s="74"/>
      <c r="ALU72" s="74"/>
      <c r="ALV72" s="74"/>
      <c r="ALW72" s="74"/>
      <c r="ALX72" s="74"/>
      <c r="ALY72" s="74"/>
      <c r="ALZ72" s="74"/>
      <c r="AMA72" s="74"/>
      <c r="AMB72" s="74"/>
      <c r="AMC72" s="74"/>
      <c r="AMD72" s="74"/>
      <c r="AME72" s="74"/>
      <c r="AMF72" s="74"/>
      <c r="AMG72" s="74"/>
      <c r="AMH72" s="74"/>
      <c r="AMI72" s="74"/>
      <c r="AMJ72" s="74"/>
    </row>
    <row r="73" spans="1:1024" s="79" customFormat="1" ht="15" customHeight="1" x14ac:dyDescent="0.25">
      <c r="A73" s="75"/>
      <c r="B73" s="42"/>
      <c r="C73" s="39"/>
      <c r="D73" s="76"/>
      <c r="E73" s="77"/>
      <c r="F73" s="35"/>
      <c r="G73" s="19"/>
      <c r="H73" s="19"/>
      <c r="I73" s="78"/>
      <c r="J73" s="75"/>
      <c r="K73" s="2"/>
      <c r="L73" s="21"/>
      <c r="M73" s="2"/>
      <c r="N73" s="2"/>
      <c r="O73" s="2"/>
      <c r="P73" s="2"/>
      <c r="Q73" s="2"/>
      <c r="R73" s="2"/>
      <c r="S73" s="2"/>
      <c r="T73" s="2"/>
      <c r="U73" s="2"/>
      <c r="V73" s="2"/>
      <c r="W73" s="2"/>
      <c r="X73" s="2"/>
      <c r="Y73" s="2"/>
      <c r="Z73" s="2"/>
      <c r="AA73" s="2"/>
      <c r="AB73" s="2"/>
      <c r="AC73" s="2"/>
      <c r="AD73" s="2"/>
      <c r="AE73" s="2"/>
      <c r="AF73" s="2"/>
      <c r="AG73" s="2"/>
      <c r="AH73" s="2"/>
      <c r="AI73" s="2"/>
      <c r="AJ73" s="2"/>
      <c r="AK73" s="2"/>
      <c r="AL73" s="2"/>
      <c r="AM73" s="2"/>
      <c r="AN73" s="2"/>
      <c r="AO73" s="2"/>
      <c r="AP73" s="2"/>
      <c r="AQ73" s="2"/>
      <c r="AR73" s="2"/>
      <c r="AS73" s="2"/>
      <c r="AT73" s="2"/>
      <c r="AU73" s="2"/>
      <c r="AV73" s="2"/>
      <c r="AW73" s="2"/>
      <c r="AX73" s="2"/>
      <c r="AY73" s="2"/>
      <c r="AZ73" s="2"/>
      <c r="BA73" s="2"/>
      <c r="BB73" s="2"/>
      <c r="BC73" s="2"/>
      <c r="BD73" s="2"/>
      <c r="BE73" s="2"/>
      <c r="BF73" s="2"/>
      <c r="BG73" s="2"/>
      <c r="BH73" s="2"/>
      <c r="BI73" s="2"/>
      <c r="BJ73" s="2"/>
      <c r="BK73" s="2"/>
      <c r="BL73" s="2"/>
      <c r="BM73" s="2"/>
      <c r="BN73" s="2"/>
      <c r="BO73" s="2"/>
      <c r="BP73" s="2"/>
      <c r="BQ73" s="2"/>
      <c r="BR73" s="2"/>
      <c r="BS73" s="2"/>
      <c r="BT73" s="2"/>
      <c r="BU73" s="2"/>
      <c r="BV73" s="2"/>
      <c r="BW73" s="2"/>
      <c r="BX73" s="2"/>
      <c r="BY73" s="2"/>
      <c r="BZ73" s="2"/>
      <c r="CA73" s="2"/>
      <c r="CB73" s="2"/>
      <c r="CC73" s="2"/>
      <c r="CD73" s="2"/>
      <c r="CE73" s="2"/>
      <c r="CF73" s="2"/>
      <c r="CG73" s="2"/>
      <c r="CH73" s="2"/>
      <c r="CI73" s="2"/>
      <c r="CJ73" s="2"/>
      <c r="CK73" s="2"/>
      <c r="CL73" s="2"/>
      <c r="CM73" s="2"/>
      <c r="CN73" s="2"/>
      <c r="CO73" s="2"/>
      <c r="CP73" s="2"/>
      <c r="CQ73" s="2"/>
      <c r="CR73" s="2"/>
      <c r="CS73" s="2"/>
      <c r="CT73" s="2"/>
      <c r="CU73" s="2"/>
      <c r="CV73" s="2"/>
      <c r="CW73" s="2"/>
      <c r="CX73" s="2"/>
      <c r="CY73" s="2"/>
      <c r="CZ73" s="2"/>
      <c r="DA73" s="2"/>
      <c r="DB73" s="2"/>
      <c r="DC73" s="2"/>
      <c r="DD73" s="2"/>
      <c r="DE73" s="2"/>
      <c r="DF73" s="2"/>
      <c r="DG73" s="2"/>
      <c r="DH73" s="2"/>
      <c r="DI73" s="2"/>
      <c r="DJ73" s="2"/>
      <c r="DK73" s="2"/>
      <c r="DL73" s="2"/>
      <c r="DM73" s="2"/>
      <c r="DN73" s="2"/>
      <c r="DO73" s="2"/>
      <c r="DP73" s="2"/>
      <c r="DQ73" s="2"/>
      <c r="DR73" s="2"/>
      <c r="DS73" s="2"/>
      <c r="DT73" s="2"/>
      <c r="DU73" s="2"/>
      <c r="DV73" s="2"/>
      <c r="DW73" s="2"/>
      <c r="DX73" s="2"/>
      <c r="DY73" s="2"/>
      <c r="DZ73" s="2"/>
      <c r="EA73" s="2"/>
      <c r="EB73" s="2"/>
      <c r="EC73" s="2"/>
      <c r="ED73" s="2"/>
      <c r="EE73" s="2"/>
      <c r="EF73" s="2"/>
      <c r="EG73" s="2"/>
      <c r="EH73" s="2"/>
      <c r="EI73" s="2"/>
      <c r="EJ73" s="2"/>
      <c r="EK73" s="2"/>
      <c r="EL73" s="2"/>
      <c r="EM73" s="2"/>
      <c r="EN73" s="2"/>
      <c r="EO73" s="2"/>
      <c r="EP73" s="2"/>
      <c r="EQ73" s="2"/>
      <c r="ER73" s="2"/>
      <c r="ES73" s="2"/>
      <c r="ET73" s="2"/>
      <c r="EU73" s="2"/>
      <c r="EV73" s="2"/>
      <c r="EW73" s="2"/>
      <c r="EX73" s="2"/>
      <c r="EY73" s="2"/>
      <c r="EZ73" s="2"/>
      <c r="FA73" s="2"/>
      <c r="FB73" s="2"/>
      <c r="FC73" s="2"/>
      <c r="FD73" s="2"/>
      <c r="FE73" s="2"/>
      <c r="FF73" s="2"/>
      <c r="FG73" s="2"/>
      <c r="FH73" s="2"/>
      <c r="FI73" s="2"/>
      <c r="FJ73" s="2"/>
      <c r="FK73" s="2"/>
      <c r="FL73" s="2"/>
      <c r="FM73" s="2"/>
      <c r="FN73" s="2"/>
      <c r="FO73" s="2"/>
      <c r="FP73" s="2"/>
      <c r="FQ73" s="2"/>
      <c r="FR73" s="2"/>
      <c r="FS73" s="2"/>
      <c r="FT73" s="2"/>
      <c r="FU73" s="2"/>
      <c r="FV73" s="2"/>
      <c r="FW73" s="2"/>
      <c r="FX73" s="2"/>
      <c r="FY73" s="2"/>
      <c r="FZ73" s="2"/>
      <c r="GA73" s="2"/>
      <c r="GB73" s="2"/>
      <c r="GC73" s="2"/>
      <c r="GD73" s="2"/>
      <c r="GE73" s="2"/>
      <c r="GF73" s="2"/>
      <c r="GG73" s="2"/>
      <c r="GH73" s="2"/>
      <c r="GI73" s="2"/>
      <c r="GJ73" s="2"/>
      <c r="GK73" s="2"/>
      <c r="GL73" s="2"/>
      <c r="GM73" s="2"/>
      <c r="GN73" s="2"/>
      <c r="GO73" s="2"/>
      <c r="GP73" s="2"/>
      <c r="GQ73" s="2"/>
      <c r="GR73" s="2"/>
      <c r="GS73" s="2"/>
      <c r="GT73" s="2"/>
      <c r="GU73" s="2"/>
      <c r="GV73" s="2"/>
      <c r="GW73" s="2"/>
      <c r="GX73" s="2"/>
      <c r="GY73" s="2"/>
      <c r="GZ73" s="2"/>
      <c r="HA73" s="2"/>
      <c r="HB73" s="2"/>
      <c r="HC73" s="2"/>
      <c r="HD73" s="2"/>
      <c r="HE73" s="2"/>
      <c r="HF73" s="2"/>
      <c r="HG73" s="2"/>
      <c r="HH73" s="2"/>
      <c r="HI73" s="2"/>
      <c r="HJ73" s="2"/>
      <c r="HK73" s="2"/>
      <c r="HL73" s="2"/>
      <c r="HM73" s="2"/>
      <c r="HN73" s="2"/>
      <c r="HO73" s="2"/>
      <c r="HP73" s="2"/>
      <c r="HQ73" s="2"/>
      <c r="HR73" s="2"/>
      <c r="HS73" s="2"/>
      <c r="HT73" s="2"/>
      <c r="HU73" s="2"/>
      <c r="HV73" s="2"/>
      <c r="HW73" s="2"/>
      <c r="HX73" s="2"/>
      <c r="HY73" s="2"/>
      <c r="HZ73" s="2"/>
      <c r="IA73" s="2"/>
      <c r="IB73" s="2"/>
      <c r="IC73" s="2"/>
      <c r="ID73" s="2"/>
      <c r="IE73" s="2"/>
      <c r="IF73" s="2"/>
      <c r="IG73" s="2"/>
      <c r="IH73" s="2"/>
      <c r="II73" s="2"/>
      <c r="IJ73" s="2"/>
      <c r="IK73" s="2"/>
      <c r="IL73" s="2"/>
      <c r="IM73" s="2"/>
      <c r="IN73" s="2"/>
      <c r="IO73" s="2"/>
      <c r="IP73" s="2"/>
      <c r="IQ73" s="2"/>
      <c r="IR73" s="3"/>
      <c r="IS73" s="3"/>
      <c r="IT73" s="3"/>
      <c r="IU73" s="3"/>
      <c r="IV73" s="3"/>
      <c r="IW73" s="3"/>
      <c r="IX73" s="3"/>
      <c r="IY73" s="3"/>
      <c r="IZ73" s="3"/>
      <c r="JA73" s="3"/>
      <c r="JB73" s="3"/>
      <c r="JC73" s="3"/>
      <c r="JD73" s="3"/>
      <c r="JE73" s="3"/>
      <c r="JF73" s="3"/>
      <c r="JG73" s="3"/>
      <c r="JH73" s="3"/>
      <c r="JI73" s="3"/>
      <c r="JJ73" s="3"/>
      <c r="JK73" s="3"/>
      <c r="JL73" s="3"/>
      <c r="JM73" s="3"/>
      <c r="JN73" s="3"/>
      <c r="JO73" s="3"/>
      <c r="JP73" s="3"/>
      <c r="JQ73" s="3"/>
      <c r="JR73" s="3"/>
      <c r="JS73" s="3"/>
      <c r="JT73" s="3"/>
      <c r="JU73" s="3"/>
      <c r="JV73" s="3"/>
      <c r="JW73" s="3"/>
      <c r="JX73" s="3"/>
      <c r="JY73" s="3"/>
      <c r="JZ73" s="3"/>
      <c r="KA73" s="3"/>
      <c r="KB73" s="3"/>
      <c r="KC73" s="3"/>
      <c r="KD73" s="3"/>
      <c r="KE73" s="3"/>
      <c r="KF73" s="3"/>
      <c r="KG73" s="3"/>
      <c r="KH73" s="3"/>
      <c r="KI73" s="3"/>
      <c r="KJ73" s="3"/>
      <c r="KK73" s="3"/>
      <c r="KL73" s="3"/>
      <c r="KM73" s="3"/>
      <c r="KN73" s="3"/>
      <c r="KO73" s="3"/>
      <c r="KP73" s="3"/>
      <c r="KQ73" s="3"/>
      <c r="KR73" s="3"/>
      <c r="KS73" s="3"/>
      <c r="KT73" s="3"/>
      <c r="KU73" s="3"/>
      <c r="KV73" s="3"/>
      <c r="KW73" s="3"/>
      <c r="KX73" s="3"/>
      <c r="KY73" s="3"/>
      <c r="KZ73" s="3"/>
      <c r="LA73" s="3"/>
      <c r="LB73" s="3"/>
      <c r="LC73" s="3"/>
      <c r="LD73" s="3"/>
      <c r="LE73" s="3"/>
      <c r="LF73" s="3"/>
      <c r="LG73" s="3"/>
      <c r="LH73" s="3"/>
      <c r="LI73" s="3"/>
      <c r="LJ73" s="3"/>
      <c r="LK73" s="3"/>
      <c r="LL73" s="3"/>
      <c r="LM73" s="3"/>
      <c r="LN73" s="3"/>
      <c r="LO73" s="3"/>
      <c r="LP73" s="3"/>
      <c r="LQ73" s="3"/>
      <c r="LR73" s="3"/>
      <c r="LS73" s="3"/>
      <c r="LT73" s="3"/>
      <c r="LU73" s="3"/>
      <c r="LV73" s="3"/>
      <c r="LW73" s="3"/>
      <c r="LX73" s="3"/>
      <c r="LY73" s="3"/>
      <c r="LZ73" s="3"/>
      <c r="MA73" s="3"/>
      <c r="MB73" s="3"/>
      <c r="MC73" s="3"/>
      <c r="MD73" s="3"/>
      <c r="ME73" s="3"/>
      <c r="MF73" s="3"/>
      <c r="MG73" s="3"/>
      <c r="MH73" s="3"/>
      <c r="MI73" s="3"/>
      <c r="MJ73" s="3"/>
      <c r="MK73" s="3"/>
      <c r="ML73" s="3"/>
      <c r="MM73" s="3"/>
      <c r="MN73" s="3"/>
      <c r="MO73" s="3"/>
      <c r="MP73" s="3"/>
      <c r="MQ73" s="3"/>
      <c r="MR73" s="3"/>
      <c r="MS73" s="3"/>
      <c r="MT73" s="3"/>
      <c r="MU73" s="3"/>
      <c r="MV73" s="3"/>
      <c r="MW73" s="3"/>
      <c r="MX73" s="3"/>
      <c r="MY73" s="3"/>
      <c r="MZ73" s="3"/>
      <c r="NA73" s="3"/>
      <c r="NB73" s="3"/>
      <c r="NC73" s="3"/>
      <c r="ND73" s="3"/>
      <c r="NE73" s="3"/>
      <c r="NF73" s="3"/>
      <c r="NG73" s="3"/>
      <c r="NH73" s="3"/>
      <c r="NI73" s="3"/>
      <c r="NJ73" s="3"/>
      <c r="NK73" s="3"/>
      <c r="NL73" s="3"/>
      <c r="NM73" s="3"/>
      <c r="NN73" s="3"/>
      <c r="NO73" s="3"/>
      <c r="NP73" s="3"/>
      <c r="NQ73" s="3"/>
      <c r="NR73" s="3"/>
      <c r="NS73" s="3"/>
      <c r="NT73" s="3"/>
      <c r="NU73" s="3"/>
      <c r="NV73" s="3"/>
      <c r="NW73" s="3"/>
      <c r="NX73" s="3"/>
      <c r="NY73" s="3"/>
      <c r="NZ73" s="3"/>
      <c r="OA73" s="3"/>
      <c r="OB73" s="3"/>
      <c r="OC73" s="3"/>
      <c r="OD73" s="3"/>
      <c r="OE73" s="3"/>
      <c r="OF73" s="3"/>
      <c r="OG73" s="3"/>
      <c r="OH73" s="3"/>
      <c r="OI73" s="3"/>
      <c r="OJ73" s="3"/>
      <c r="OK73" s="3"/>
      <c r="OL73" s="3"/>
      <c r="OM73" s="3"/>
      <c r="ON73" s="3"/>
      <c r="OO73" s="3"/>
      <c r="OP73" s="3"/>
      <c r="OQ73" s="3"/>
      <c r="OR73" s="3"/>
      <c r="OS73" s="3"/>
      <c r="OT73" s="3"/>
      <c r="OU73" s="3"/>
      <c r="OV73" s="3"/>
      <c r="OW73" s="3"/>
      <c r="OX73" s="3"/>
      <c r="OY73" s="3"/>
      <c r="OZ73" s="3"/>
      <c r="PA73" s="3"/>
      <c r="PB73" s="3"/>
      <c r="PC73" s="3"/>
      <c r="PD73" s="3"/>
      <c r="PE73" s="3"/>
      <c r="PF73" s="3"/>
      <c r="PG73" s="3"/>
      <c r="PH73" s="3"/>
      <c r="PI73" s="3"/>
      <c r="PJ73" s="3"/>
      <c r="PK73" s="3"/>
      <c r="PL73" s="3"/>
      <c r="PM73" s="3"/>
      <c r="PN73" s="3"/>
      <c r="PO73" s="3"/>
      <c r="PP73" s="3"/>
      <c r="PQ73" s="3"/>
      <c r="PR73" s="3"/>
      <c r="PS73" s="3"/>
      <c r="PT73" s="3"/>
      <c r="PU73" s="3"/>
      <c r="PV73" s="3"/>
      <c r="PW73" s="3"/>
      <c r="PX73" s="3"/>
      <c r="PY73" s="3"/>
      <c r="PZ73" s="3"/>
      <c r="QA73" s="3"/>
      <c r="QB73" s="3"/>
      <c r="QC73" s="3"/>
      <c r="QD73" s="3"/>
      <c r="QE73" s="3"/>
      <c r="QF73" s="3"/>
      <c r="QG73" s="3"/>
      <c r="QH73" s="3"/>
      <c r="QI73" s="3"/>
      <c r="QJ73" s="3"/>
      <c r="QK73" s="3"/>
      <c r="QL73" s="3"/>
      <c r="QM73" s="3"/>
      <c r="QN73" s="3"/>
      <c r="QO73" s="3"/>
      <c r="QP73" s="3"/>
      <c r="QQ73" s="3"/>
      <c r="QR73" s="3"/>
      <c r="QS73" s="3"/>
      <c r="QT73" s="3"/>
      <c r="QU73" s="3"/>
      <c r="QV73" s="3"/>
      <c r="QW73" s="3"/>
      <c r="QX73" s="3"/>
      <c r="QY73" s="3"/>
      <c r="QZ73" s="3"/>
      <c r="RA73" s="3"/>
      <c r="RB73" s="3"/>
      <c r="RC73" s="3"/>
      <c r="RD73" s="3"/>
      <c r="RE73" s="3"/>
      <c r="RF73" s="3"/>
      <c r="RG73" s="3"/>
      <c r="RH73" s="3"/>
      <c r="RI73" s="3"/>
      <c r="RJ73" s="3"/>
      <c r="RK73" s="3"/>
      <c r="RL73" s="3"/>
      <c r="RM73" s="3"/>
      <c r="RN73" s="3"/>
      <c r="RO73" s="3"/>
      <c r="RP73" s="3"/>
      <c r="RQ73" s="3"/>
      <c r="RR73" s="3"/>
      <c r="RS73" s="3"/>
      <c r="RT73" s="3"/>
      <c r="RU73" s="3"/>
      <c r="RV73" s="3"/>
      <c r="RW73" s="3"/>
      <c r="RX73" s="3"/>
      <c r="RY73" s="3"/>
      <c r="RZ73" s="3"/>
      <c r="SA73" s="3"/>
      <c r="SB73" s="3"/>
      <c r="SC73" s="3"/>
      <c r="SD73" s="3"/>
      <c r="SE73" s="3"/>
      <c r="SF73" s="3"/>
      <c r="SG73" s="3"/>
      <c r="SH73" s="3"/>
      <c r="SI73" s="3"/>
      <c r="SJ73" s="3"/>
      <c r="SK73" s="3"/>
      <c r="SL73" s="3"/>
      <c r="SM73" s="3"/>
      <c r="SN73" s="3"/>
      <c r="SO73" s="3"/>
      <c r="SP73" s="3"/>
      <c r="SQ73" s="3"/>
      <c r="SR73" s="3"/>
      <c r="SS73" s="3"/>
      <c r="ST73" s="3"/>
      <c r="SU73" s="3"/>
      <c r="SV73" s="3"/>
      <c r="SW73" s="3"/>
      <c r="SX73" s="3"/>
      <c r="SY73" s="3"/>
      <c r="SZ73" s="3"/>
      <c r="TA73" s="3"/>
      <c r="TB73" s="3"/>
      <c r="TC73" s="3"/>
      <c r="TD73" s="3"/>
      <c r="TE73" s="3"/>
      <c r="TF73" s="3"/>
      <c r="TG73" s="3"/>
      <c r="TH73" s="3"/>
      <c r="TI73" s="3"/>
      <c r="TJ73" s="3"/>
      <c r="TK73" s="3"/>
      <c r="TL73" s="3"/>
      <c r="TM73" s="3"/>
      <c r="TN73" s="3"/>
      <c r="TO73" s="3"/>
      <c r="TP73" s="3"/>
      <c r="TQ73" s="3"/>
      <c r="TR73" s="3"/>
      <c r="TS73" s="3"/>
      <c r="TT73" s="3"/>
      <c r="TU73" s="3"/>
      <c r="TV73" s="3"/>
      <c r="TW73" s="3"/>
      <c r="TX73" s="3"/>
      <c r="TY73" s="3"/>
      <c r="TZ73" s="3"/>
      <c r="UA73" s="3"/>
      <c r="UB73" s="3"/>
      <c r="UC73" s="3"/>
      <c r="UD73" s="3"/>
      <c r="UE73" s="3"/>
      <c r="UF73" s="3"/>
      <c r="UG73" s="3"/>
      <c r="UH73" s="3"/>
      <c r="UI73" s="3"/>
      <c r="UJ73" s="3"/>
      <c r="UK73" s="3"/>
      <c r="UL73" s="3"/>
      <c r="UM73" s="3"/>
      <c r="UN73" s="3"/>
      <c r="UO73" s="3"/>
      <c r="UP73" s="3"/>
      <c r="UQ73" s="3"/>
      <c r="UR73" s="3"/>
      <c r="US73" s="3"/>
      <c r="UT73" s="3"/>
      <c r="UU73" s="3"/>
      <c r="UV73" s="3"/>
      <c r="UW73" s="3"/>
      <c r="UX73" s="3"/>
      <c r="UY73" s="3"/>
      <c r="UZ73" s="3"/>
      <c r="VA73" s="3"/>
      <c r="VB73" s="3"/>
      <c r="VC73" s="3"/>
      <c r="VD73" s="3"/>
      <c r="VE73" s="3"/>
      <c r="VF73" s="3"/>
      <c r="VG73" s="3"/>
      <c r="VH73" s="3"/>
      <c r="VI73" s="3"/>
      <c r="VJ73" s="3"/>
      <c r="VK73" s="3"/>
      <c r="VL73" s="3"/>
      <c r="VM73" s="3"/>
      <c r="VN73" s="3"/>
      <c r="VO73" s="3"/>
      <c r="VP73" s="3"/>
      <c r="VQ73" s="3"/>
      <c r="VR73" s="3"/>
      <c r="VS73" s="3"/>
      <c r="VT73" s="3"/>
      <c r="VU73" s="3"/>
      <c r="VV73" s="3"/>
      <c r="VW73" s="3"/>
      <c r="VX73" s="3"/>
      <c r="VY73" s="3"/>
      <c r="VZ73" s="3"/>
      <c r="WA73" s="3"/>
      <c r="WB73" s="3"/>
      <c r="WC73" s="3"/>
      <c r="WD73" s="3"/>
      <c r="WE73" s="3"/>
      <c r="WF73" s="3"/>
      <c r="WG73" s="3"/>
      <c r="WH73" s="3"/>
      <c r="WI73" s="3"/>
      <c r="WJ73" s="3"/>
      <c r="WK73" s="3"/>
      <c r="WL73" s="3"/>
      <c r="WM73" s="3"/>
      <c r="WN73" s="3"/>
      <c r="WO73" s="3"/>
      <c r="WP73" s="3"/>
      <c r="WQ73" s="3"/>
      <c r="WR73" s="3"/>
      <c r="WS73" s="3"/>
      <c r="WT73" s="3"/>
      <c r="WU73" s="3"/>
      <c r="WV73" s="3"/>
      <c r="WW73" s="3"/>
      <c r="WX73" s="3"/>
      <c r="WY73" s="3"/>
      <c r="WZ73" s="3"/>
      <c r="XA73" s="3"/>
      <c r="XB73" s="3"/>
      <c r="XC73" s="3"/>
      <c r="XD73" s="3"/>
      <c r="XE73" s="3"/>
      <c r="XF73" s="3"/>
      <c r="XG73" s="3"/>
      <c r="XH73" s="3"/>
      <c r="XI73" s="3"/>
      <c r="XJ73" s="3"/>
      <c r="XK73" s="3"/>
      <c r="XL73" s="3"/>
      <c r="XM73" s="3"/>
      <c r="XN73" s="3"/>
      <c r="XO73" s="3"/>
      <c r="XP73" s="3"/>
      <c r="XQ73" s="3"/>
      <c r="XR73" s="3"/>
      <c r="XS73" s="3"/>
      <c r="XT73" s="3"/>
      <c r="XU73" s="3"/>
      <c r="XV73" s="3"/>
      <c r="XW73" s="3"/>
      <c r="XX73" s="3"/>
      <c r="XY73" s="3"/>
      <c r="XZ73" s="3"/>
      <c r="YA73" s="3"/>
      <c r="YB73" s="3"/>
      <c r="YC73" s="3"/>
      <c r="YD73" s="3"/>
      <c r="YE73" s="3"/>
      <c r="YF73" s="3"/>
      <c r="YG73" s="3"/>
      <c r="YH73" s="3"/>
      <c r="YI73" s="3"/>
      <c r="YJ73" s="3"/>
      <c r="YK73" s="3"/>
      <c r="YL73" s="3"/>
      <c r="YM73" s="3"/>
      <c r="YN73" s="3"/>
      <c r="YO73" s="3"/>
      <c r="YP73" s="3"/>
      <c r="YQ73" s="3"/>
      <c r="YR73" s="3"/>
      <c r="YS73" s="3"/>
      <c r="YT73" s="3"/>
      <c r="YU73" s="3"/>
      <c r="YV73" s="3"/>
      <c r="YW73" s="3"/>
      <c r="YX73" s="3"/>
      <c r="YY73" s="3"/>
      <c r="YZ73" s="3"/>
      <c r="ZA73" s="3"/>
      <c r="ZB73" s="3"/>
      <c r="ZC73" s="3"/>
      <c r="ZD73" s="3"/>
      <c r="ZE73" s="3"/>
      <c r="ZF73" s="3"/>
      <c r="ZG73" s="3"/>
      <c r="ZH73" s="3"/>
      <c r="ZI73" s="3"/>
      <c r="ZJ73" s="3"/>
      <c r="ZK73" s="3"/>
      <c r="ZL73" s="3"/>
      <c r="ZM73" s="3"/>
      <c r="ZN73" s="3"/>
      <c r="ZO73" s="3"/>
      <c r="ZP73" s="3"/>
      <c r="ZQ73" s="3"/>
      <c r="ZR73" s="3"/>
      <c r="ZS73" s="3"/>
      <c r="ZT73" s="3"/>
      <c r="ZU73" s="3"/>
      <c r="ZV73" s="3"/>
      <c r="ZW73" s="3"/>
      <c r="ZX73" s="3"/>
      <c r="ZY73" s="3"/>
      <c r="ZZ73" s="3"/>
      <c r="AAA73" s="3"/>
      <c r="AAB73" s="3"/>
      <c r="AAC73" s="3"/>
      <c r="AAD73" s="3"/>
      <c r="AAE73" s="3"/>
      <c r="AAF73" s="3"/>
      <c r="AAG73" s="3"/>
      <c r="AAH73" s="3"/>
      <c r="AAI73" s="3"/>
      <c r="AAJ73" s="3"/>
      <c r="AAK73" s="3"/>
      <c r="AAL73" s="3"/>
      <c r="AAM73" s="3"/>
      <c r="AAN73" s="3"/>
      <c r="AAO73" s="3"/>
      <c r="AAP73" s="3"/>
      <c r="AAQ73" s="3"/>
      <c r="AAR73" s="3"/>
      <c r="AAS73" s="3"/>
      <c r="AAT73" s="3"/>
      <c r="AAU73" s="3"/>
      <c r="AAV73" s="3"/>
      <c r="AAW73" s="3"/>
      <c r="AAX73" s="3"/>
      <c r="AAY73" s="3"/>
      <c r="AAZ73" s="3"/>
      <c r="ABA73" s="3"/>
      <c r="ABB73" s="3"/>
      <c r="ABC73" s="3"/>
      <c r="ABD73" s="3"/>
      <c r="ABE73" s="3"/>
      <c r="ABF73" s="3"/>
      <c r="ABG73" s="3"/>
      <c r="ABH73" s="3"/>
      <c r="ABI73" s="3"/>
      <c r="ABJ73" s="3"/>
      <c r="ABK73" s="3"/>
      <c r="ABL73" s="3"/>
      <c r="ABM73" s="3"/>
      <c r="ABN73" s="3"/>
      <c r="ABO73" s="3"/>
      <c r="ABP73" s="3"/>
      <c r="ABQ73" s="3"/>
      <c r="ABR73" s="3"/>
      <c r="ABS73" s="3"/>
      <c r="ABT73" s="3"/>
      <c r="ABU73" s="3"/>
      <c r="ABV73" s="3"/>
      <c r="ABW73" s="3"/>
      <c r="ABX73" s="3"/>
      <c r="ABY73" s="3"/>
      <c r="ABZ73" s="3"/>
      <c r="ACA73" s="3"/>
      <c r="ACB73" s="3"/>
      <c r="ACC73" s="3"/>
      <c r="ACD73" s="3"/>
      <c r="ACE73" s="3"/>
      <c r="ACF73" s="3"/>
      <c r="ACG73" s="3"/>
      <c r="ACH73" s="3"/>
      <c r="ACI73" s="3"/>
      <c r="ACJ73" s="3"/>
      <c r="ACK73" s="3"/>
      <c r="ACL73" s="3"/>
      <c r="ACM73" s="3"/>
      <c r="ACN73" s="3"/>
      <c r="ACO73" s="3"/>
      <c r="ACP73" s="3"/>
      <c r="ACQ73" s="3"/>
      <c r="ACR73" s="3"/>
      <c r="ACS73" s="3"/>
      <c r="ACT73" s="3"/>
      <c r="ACU73" s="3"/>
      <c r="ACV73" s="3"/>
      <c r="ACW73" s="3"/>
      <c r="ACX73" s="3"/>
      <c r="ACY73" s="3"/>
      <c r="ACZ73" s="3"/>
      <c r="ADA73" s="3"/>
      <c r="ADB73" s="3"/>
      <c r="ADC73" s="3"/>
      <c r="ADD73" s="3"/>
      <c r="ADE73" s="3"/>
      <c r="ADF73" s="3"/>
      <c r="ADG73" s="3"/>
      <c r="ADH73" s="3"/>
      <c r="ADI73" s="3"/>
      <c r="ADJ73" s="3"/>
      <c r="ADK73" s="3"/>
      <c r="ADL73" s="3"/>
      <c r="ADM73" s="3"/>
      <c r="ADN73" s="3"/>
      <c r="ADO73" s="3"/>
      <c r="ADP73" s="3"/>
      <c r="ADQ73" s="3"/>
      <c r="ADR73" s="3"/>
      <c r="ADS73" s="3"/>
      <c r="ADT73" s="3"/>
      <c r="ADU73" s="3"/>
      <c r="ADV73" s="3"/>
      <c r="ADW73" s="3"/>
      <c r="ADX73" s="3"/>
      <c r="ADY73" s="3"/>
      <c r="ADZ73" s="3"/>
      <c r="AEA73" s="3"/>
      <c r="AEB73" s="3"/>
      <c r="AEC73" s="3"/>
      <c r="AED73" s="3"/>
      <c r="AEE73" s="3"/>
      <c r="AEF73" s="3"/>
      <c r="AEG73" s="3"/>
      <c r="AEH73" s="3"/>
      <c r="AEI73" s="3"/>
      <c r="AEJ73" s="3"/>
      <c r="AEK73" s="3"/>
      <c r="AEL73" s="3"/>
      <c r="AEM73" s="3"/>
      <c r="AEN73" s="3"/>
      <c r="AEO73" s="3"/>
      <c r="AEP73" s="3"/>
      <c r="AEQ73" s="3"/>
      <c r="AER73" s="3"/>
      <c r="AES73" s="3"/>
      <c r="AET73" s="3"/>
      <c r="AEU73" s="3"/>
      <c r="AEV73" s="3"/>
      <c r="AEW73" s="3"/>
      <c r="AEX73" s="3"/>
      <c r="AEY73" s="3"/>
      <c r="AEZ73" s="3"/>
      <c r="AFA73" s="3"/>
      <c r="AFB73" s="3"/>
      <c r="AFC73" s="3"/>
      <c r="AFD73" s="3"/>
      <c r="AFE73" s="3"/>
      <c r="AFF73" s="3"/>
      <c r="AFG73" s="3"/>
      <c r="AFH73" s="3"/>
      <c r="AFI73" s="3"/>
      <c r="AFJ73" s="3"/>
      <c r="AFK73" s="3"/>
      <c r="AFL73" s="3"/>
      <c r="AFM73" s="3"/>
      <c r="AFN73" s="3"/>
      <c r="AFO73" s="3"/>
      <c r="AFP73" s="3"/>
      <c r="AFQ73" s="3"/>
      <c r="AFR73" s="3"/>
      <c r="AFS73" s="3"/>
      <c r="AFT73" s="3"/>
      <c r="AFU73" s="3"/>
      <c r="AFV73" s="3"/>
      <c r="AFW73" s="3"/>
      <c r="AFX73" s="3"/>
      <c r="AFY73" s="3"/>
      <c r="AFZ73" s="3"/>
      <c r="AGA73" s="3"/>
      <c r="AGB73" s="3"/>
      <c r="AGC73" s="3"/>
      <c r="AGD73" s="3"/>
      <c r="AGE73" s="3"/>
      <c r="AGF73" s="3"/>
      <c r="AGG73" s="3"/>
      <c r="AGH73" s="3"/>
      <c r="AGI73" s="3"/>
      <c r="AGJ73" s="3"/>
      <c r="AGK73" s="3"/>
      <c r="AGL73" s="3"/>
      <c r="AGM73" s="3"/>
      <c r="AGN73" s="3"/>
      <c r="AGO73" s="3"/>
      <c r="AGP73" s="3"/>
      <c r="AGQ73" s="3"/>
      <c r="AGR73" s="3"/>
      <c r="AGS73" s="3"/>
      <c r="AGT73" s="3"/>
      <c r="AGU73" s="3"/>
      <c r="AGV73" s="3"/>
      <c r="AGW73" s="3"/>
      <c r="AGX73" s="3"/>
      <c r="AGY73" s="3"/>
      <c r="AGZ73" s="3"/>
      <c r="AHA73" s="3"/>
      <c r="AHB73" s="3"/>
      <c r="AHC73" s="3"/>
      <c r="AHD73" s="3"/>
      <c r="AHE73" s="3"/>
      <c r="AHF73" s="3"/>
      <c r="AHG73" s="3"/>
      <c r="AHH73" s="3"/>
      <c r="AHI73" s="3"/>
      <c r="AHJ73" s="3"/>
      <c r="AHK73" s="3"/>
      <c r="AHL73" s="3"/>
      <c r="AHM73" s="3"/>
      <c r="AHN73" s="3"/>
      <c r="AHO73" s="3"/>
      <c r="AHP73" s="3"/>
      <c r="AHQ73" s="3"/>
      <c r="AHR73" s="3"/>
      <c r="AHS73" s="3"/>
      <c r="AHT73" s="3"/>
      <c r="AHU73" s="3"/>
      <c r="AHV73" s="3"/>
      <c r="AHW73" s="3"/>
      <c r="AHX73" s="3"/>
      <c r="AHY73" s="3"/>
      <c r="AHZ73" s="3"/>
      <c r="AIA73" s="3"/>
      <c r="AIB73" s="3"/>
      <c r="AIC73" s="3"/>
      <c r="AID73" s="3"/>
      <c r="AIE73" s="3"/>
      <c r="AIF73" s="3"/>
      <c r="AIG73" s="3"/>
      <c r="AIH73" s="3"/>
      <c r="AII73" s="3"/>
      <c r="AIJ73" s="3"/>
      <c r="AIK73" s="3"/>
      <c r="AIL73" s="3"/>
      <c r="AIM73" s="3"/>
      <c r="AIN73" s="3"/>
      <c r="AIO73" s="3"/>
      <c r="AIP73" s="3"/>
      <c r="AIQ73" s="3"/>
      <c r="AIR73" s="3"/>
      <c r="AIS73" s="3"/>
      <c r="AIT73" s="3"/>
      <c r="AIU73" s="3"/>
      <c r="AIV73" s="3"/>
      <c r="AIW73" s="3"/>
      <c r="AIX73" s="3"/>
      <c r="AIY73" s="3"/>
      <c r="AIZ73" s="3"/>
      <c r="AJA73" s="3"/>
      <c r="AJB73" s="3"/>
      <c r="AJC73" s="3"/>
      <c r="AJD73" s="3"/>
      <c r="AJE73" s="3"/>
      <c r="AJF73" s="3"/>
      <c r="AJG73" s="3"/>
      <c r="AJH73" s="3"/>
      <c r="AJI73" s="3"/>
      <c r="AJJ73" s="3"/>
      <c r="AJK73" s="3"/>
      <c r="AJL73" s="3"/>
      <c r="AJM73" s="3"/>
      <c r="AJN73" s="3"/>
      <c r="AJO73" s="3"/>
      <c r="AJP73" s="3"/>
      <c r="AJQ73" s="3"/>
      <c r="AJR73" s="3"/>
      <c r="AJS73" s="3"/>
      <c r="AJT73" s="3"/>
      <c r="AJU73" s="3"/>
      <c r="AJV73" s="3"/>
      <c r="AJW73" s="3"/>
      <c r="AJX73" s="3"/>
      <c r="AJY73" s="3"/>
      <c r="AJZ73" s="3"/>
      <c r="AKA73" s="3"/>
      <c r="AKB73" s="3"/>
      <c r="AKC73" s="3"/>
      <c r="AKD73" s="3"/>
      <c r="AKE73" s="3"/>
      <c r="AKF73" s="3"/>
      <c r="AKG73" s="3"/>
      <c r="AKH73" s="3"/>
      <c r="AKI73" s="3"/>
      <c r="AKJ73" s="3"/>
      <c r="AKK73" s="3"/>
      <c r="AKL73" s="3"/>
      <c r="AKM73" s="3"/>
      <c r="AKN73" s="3"/>
      <c r="AKO73" s="3"/>
      <c r="AKP73" s="3"/>
      <c r="AKQ73" s="3"/>
      <c r="AKR73" s="3"/>
      <c r="AKS73" s="3"/>
      <c r="AKT73" s="3"/>
      <c r="AKU73" s="3"/>
      <c r="AKV73" s="3"/>
      <c r="AKW73" s="3"/>
      <c r="AKX73" s="3"/>
      <c r="AKY73" s="3"/>
      <c r="AKZ73" s="3"/>
      <c r="ALA73" s="3"/>
      <c r="ALB73" s="3"/>
      <c r="ALC73" s="3"/>
      <c r="ALD73" s="3"/>
      <c r="ALE73" s="3"/>
      <c r="ALF73" s="3"/>
      <c r="ALG73" s="3"/>
      <c r="ALH73" s="3"/>
      <c r="ALI73" s="3"/>
      <c r="ALJ73" s="3"/>
      <c r="ALK73" s="3"/>
      <c r="ALL73" s="3"/>
      <c r="ALM73" s="3"/>
      <c r="ALN73" s="3"/>
      <c r="ALO73" s="3"/>
      <c r="ALP73" s="3"/>
      <c r="ALQ73" s="3"/>
      <c r="ALR73" s="3"/>
      <c r="ALS73" s="3"/>
      <c r="ALT73" s="3"/>
      <c r="ALU73" s="3"/>
      <c r="ALV73" s="3"/>
      <c r="ALW73" s="3"/>
      <c r="ALX73" s="3"/>
      <c r="ALY73" s="3"/>
      <c r="ALZ73" s="3"/>
      <c r="AMA73" s="3"/>
      <c r="AMB73" s="3"/>
      <c r="AMC73" s="3"/>
      <c r="AMD73" s="3"/>
      <c r="AME73" s="3"/>
      <c r="AMF73" s="3"/>
      <c r="AMG73" s="3"/>
      <c r="AMH73" s="3"/>
      <c r="AMI73" s="3"/>
      <c r="AMJ73" s="3"/>
    </row>
    <row r="74" spans="1:1024" ht="15" customHeight="1" x14ac:dyDescent="0.25">
      <c r="A74" s="80"/>
      <c r="B74" s="58"/>
      <c r="C74" s="59"/>
      <c r="D74" s="81"/>
      <c r="E74" s="19"/>
      <c r="F74" s="18"/>
      <c r="G74" s="19"/>
      <c r="H74" s="19"/>
      <c r="I74" s="82"/>
      <c r="J74" s="83"/>
      <c r="K74" s="84"/>
      <c r="L74" s="85"/>
      <c r="M74" s="84"/>
      <c r="N74" s="84"/>
      <c r="O74" s="84"/>
      <c r="P74" s="84"/>
      <c r="Q74" s="84"/>
      <c r="R74" s="84"/>
      <c r="S74" s="84"/>
      <c r="T74" s="84"/>
      <c r="U74" s="84"/>
      <c r="V74" s="84"/>
      <c r="W74" s="84"/>
      <c r="X74" s="84"/>
      <c r="Y74" s="84"/>
      <c r="Z74" s="84"/>
      <c r="AA74" s="84"/>
      <c r="AB74" s="84"/>
      <c r="AC74" s="84"/>
      <c r="AD74" s="84"/>
      <c r="AE74" s="84"/>
      <c r="AF74" s="84"/>
      <c r="AG74" s="84"/>
      <c r="AH74" s="84"/>
      <c r="AI74" s="84"/>
      <c r="AJ74" s="84"/>
      <c r="AK74" s="84"/>
      <c r="AL74" s="84"/>
      <c r="AM74" s="84"/>
      <c r="AN74" s="84"/>
      <c r="AO74" s="84"/>
      <c r="AP74" s="84"/>
      <c r="AQ74" s="84"/>
      <c r="AR74" s="84"/>
      <c r="AS74" s="84"/>
      <c r="AT74" s="84"/>
      <c r="AU74" s="84"/>
      <c r="AV74" s="84"/>
      <c r="AW74" s="84"/>
      <c r="AX74" s="84"/>
      <c r="AY74" s="84"/>
      <c r="AZ74" s="84"/>
      <c r="BA74" s="84"/>
      <c r="BB74" s="84"/>
      <c r="BC74" s="84"/>
      <c r="BD74" s="84"/>
      <c r="BE74" s="84"/>
      <c r="BF74" s="84"/>
      <c r="BG74" s="84"/>
      <c r="BH74" s="84"/>
      <c r="BI74" s="84"/>
      <c r="BJ74" s="84"/>
      <c r="BK74" s="84"/>
      <c r="BL74" s="84"/>
      <c r="BM74" s="84"/>
      <c r="BN74" s="84"/>
      <c r="BO74" s="84"/>
      <c r="BP74" s="84"/>
      <c r="BQ74" s="84"/>
      <c r="BR74" s="84"/>
      <c r="BS74" s="84"/>
      <c r="BT74" s="84"/>
      <c r="BU74" s="84"/>
      <c r="BV74" s="84"/>
      <c r="BW74" s="84"/>
      <c r="BX74" s="84"/>
      <c r="BY74" s="84"/>
      <c r="BZ74" s="84"/>
      <c r="CA74" s="84"/>
      <c r="CB74" s="84"/>
      <c r="CC74" s="84"/>
      <c r="CD74" s="84"/>
      <c r="CE74" s="84"/>
      <c r="CF74" s="84"/>
      <c r="CG74" s="84"/>
      <c r="CH74" s="84"/>
      <c r="CI74" s="84"/>
      <c r="CJ74" s="84"/>
      <c r="CK74" s="84"/>
      <c r="CL74" s="84"/>
      <c r="CM74" s="84"/>
      <c r="CN74" s="84"/>
      <c r="CO74" s="84"/>
      <c r="CP74" s="84"/>
      <c r="CQ74" s="84"/>
      <c r="CR74" s="84"/>
      <c r="CS74" s="84"/>
      <c r="CT74" s="84"/>
      <c r="CU74" s="84"/>
      <c r="CV74" s="84"/>
      <c r="CW74" s="84"/>
      <c r="CX74" s="84"/>
      <c r="CY74" s="84"/>
      <c r="CZ74" s="84"/>
      <c r="DA74" s="84"/>
      <c r="DB74" s="84"/>
      <c r="DC74" s="84"/>
      <c r="DD74" s="84"/>
      <c r="DE74" s="84"/>
      <c r="DF74" s="84"/>
      <c r="DG74" s="84"/>
      <c r="DH74" s="84"/>
      <c r="DI74" s="84"/>
      <c r="DJ74" s="84"/>
      <c r="DK74" s="84"/>
      <c r="DL74" s="84"/>
      <c r="DM74" s="84"/>
      <c r="DN74" s="84"/>
      <c r="DO74" s="84"/>
      <c r="DP74" s="84"/>
      <c r="DQ74" s="84"/>
      <c r="DR74" s="84"/>
      <c r="DS74" s="84"/>
      <c r="DT74" s="84"/>
      <c r="DU74" s="84"/>
      <c r="DV74" s="84"/>
      <c r="DW74" s="84"/>
      <c r="DX74" s="84"/>
      <c r="DY74" s="84"/>
      <c r="DZ74" s="84"/>
      <c r="EA74" s="84"/>
      <c r="EB74" s="84"/>
      <c r="EC74" s="84"/>
      <c r="ED74" s="84"/>
      <c r="EE74" s="84"/>
      <c r="EF74" s="84"/>
      <c r="EG74" s="84"/>
      <c r="EH74" s="84"/>
      <c r="EI74" s="84"/>
      <c r="EJ74" s="84"/>
      <c r="EK74" s="84"/>
      <c r="EL74" s="84"/>
      <c r="EM74" s="84"/>
      <c r="EN74" s="84"/>
      <c r="EO74" s="84"/>
      <c r="EP74" s="84"/>
      <c r="EQ74" s="84"/>
      <c r="ER74" s="84"/>
      <c r="ES74" s="84"/>
      <c r="ET74" s="84"/>
      <c r="EU74" s="84"/>
      <c r="EV74" s="84"/>
      <c r="EW74" s="84"/>
      <c r="EX74" s="84"/>
      <c r="EY74" s="84"/>
      <c r="EZ74" s="84"/>
      <c r="FA74" s="84"/>
      <c r="FB74" s="84"/>
      <c r="FC74" s="84"/>
      <c r="FD74" s="84"/>
      <c r="FE74" s="84"/>
      <c r="FF74" s="84"/>
      <c r="FG74" s="84"/>
      <c r="FH74" s="84"/>
      <c r="FI74" s="84"/>
      <c r="FJ74" s="84"/>
      <c r="FK74" s="84"/>
      <c r="FL74" s="84"/>
      <c r="FM74" s="84"/>
      <c r="FN74" s="84"/>
      <c r="FO74" s="84"/>
      <c r="FP74" s="84"/>
      <c r="FQ74" s="84"/>
      <c r="FR74" s="84"/>
      <c r="FS74" s="84"/>
      <c r="FT74" s="84"/>
      <c r="FU74" s="84"/>
      <c r="FV74" s="84"/>
      <c r="FW74" s="84"/>
      <c r="FX74" s="84"/>
      <c r="FY74" s="84"/>
      <c r="FZ74" s="84"/>
      <c r="GA74" s="84"/>
      <c r="GB74" s="84"/>
      <c r="GC74" s="84"/>
      <c r="GD74" s="84"/>
      <c r="GE74" s="84"/>
      <c r="GF74" s="84"/>
      <c r="GG74" s="84"/>
      <c r="GH74" s="84"/>
      <c r="GI74" s="84"/>
      <c r="GJ74" s="84"/>
      <c r="GK74" s="84"/>
      <c r="GL74" s="84"/>
      <c r="GM74" s="84"/>
      <c r="GN74" s="84"/>
      <c r="GO74" s="84"/>
      <c r="GP74" s="84"/>
      <c r="GQ74" s="84"/>
      <c r="GR74" s="84"/>
      <c r="GS74" s="84"/>
      <c r="GT74" s="84"/>
      <c r="GU74" s="84"/>
      <c r="GV74" s="84"/>
      <c r="GW74" s="84"/>
      <c r="GX74" s="84"/>
      <c r="GY74" s="84"/>
      <c r="GZ74" s="84"/>
      <c r="HA74" s="84"/>
      <c r="HB74" s="84"/>
      <c r="HC74" s="84"/>
      <c r="HD74" s="84"/>
      <c r="HE74" s="84"/>
      <c r="HF74" s="84"/>
      <c r="HG74" s="84"/>
      <c r="HH74" s="84"/>
      <c r="HI74" s="84"/>
      <c r="HJ74" s="84"/>
      <c r="HK74" s="84"/>
      <c r="HL74" s="84"/>
      <c r="HM74" s="84"/>
      <c r="HN74" s="84"/>
      <c r="HO74" s="84"/>
      <c r="HP74" s="84"/>
      <c r="HQ74" s="84"/>
      <c r="HR74" s="84"/>
      <c r="HS74" s="84"/>
      <c r="HT74" s="84"/>
      <c r="HU74" s="84"/>
      <c r="HV74" s="84"/>
      <c r="HW74" s="84"/>
      <c r="HX74" s="84"/>
      <c r="HY74" s="84"/>
      <c r="HZ74" s="84"/>
      <c r="IA74" s="84"/>
      <c r="IB74" s="84"/>
      <c r="IC74" s="84"/>
      <c r="ID74" s="84"/>
      <c r="IE74" s="84"/>
      <c r="IF74" s="84"/>
      <c r="IG74" s="84"/>
      <c r="IH74" s="84"/>
      <c r="II74" s="84"/>
      <c r="IJ74" s="84"/>
      <c r="IK74" s="84"/>
      <c r="IL74" s="84"/>
      <c r="IM74" s="84"/>
      <c r="IN74" s="84"/>
      <c r="IO74" s="84"/>
      <c r="IP74" s="84"/>
      <c r="IQ74" s="84"/>
      <c r="IR74" s="86"/>
      <c r="IS74" s="86"/>
      <c r="IT74" s="86"/>
      <c r="IU74" s="86"/>
      <c r="IV74" s="86"/>
      <c r="IW74" s="86"/>
      <c r="IX74" s="86"/>
      <c r="IY74" s="86"/>
      <c r="IZ74" s="86"/>
      <c r="JA74" s="86"/>
      <c r="JB74" s="86"/>
      <c r="JC74" s="86"/>
      <c r="JD74" s="86"/>
      <c r="JE74" s="86"/>
      <c r="JF74" s="86"/>
      <c r="JG74" s="86"/>
      <c r="JH74" s="86"/>
      <c r="JI74" s="86"/>
      <c r="JJ74" s="86"/>
      <c r="JK74" s="86"/>
      <c r="JL74" s="86"/>
      <c r="JM74" s="86"/>
      <c r="JN74" s="86"/>
      <c r="JO74" s="86"/>
      <c r="JP74" s="86"/>
      <c r="JQ74" s="86"/>
      <c r="JR74" s="86"/>
      <c r="JS74" s="86"/>
      <c r="JT74" s="86"/>
      <c r="JU74" s="86"/>
      <c r="JV74" s="86"/>
      <c r="JW74" s="86"/>
      <c r="JX74" s="86"/>
      <c r="JY74" s="86"/>
      <c r="JZ74" s="86"/>
      <c r="KA74" s="86"/>
      <c r="KB74" s="86"/>
      <c r="KC74" s="86"/>
      <c r="KD74" s="86"/>
      <c r="KE74" s="86"/>
      <c r="KF74" s="86"/>
      <c r="KG74" s="86"/>
      <c r="KH74" s="86"/>
      <c r="KI74" s="86"/>
      <c r="KJ74" s="86"/>
      <c r="KK74" s="86"/>
      <c r="KL74" s="86"/>
      <c r="KM74" s="86"/>
      <c r="KN74" s="86"/>
      <c r="KO74" s="86"/>
      <c r="KP74" s="86"/>
      <c r="KQ74" s="86"/>
      <c r="KR74" s="86"/>
      <c r="KS74" s="86"/>
      <c r="KT74" s="86"/>
      <c r="KU74" s="86"/>
      <c r="KV74" s="86"/>
      <c r="KW74" s="86"/>
      <c r="KX74" s="86"/>
      <c r="KY74" s="86"/>
      <c r="KZ74" s="86"/>
      <c r="LA74" s="86"/>
      <c r="LB74" s="86"/>
      <c r="LC74" s="86"/>
      <c r="LD74" s="86"/>
      <c r="LE74" s="86"/>
      <c r="LF74" s="86"/>
      <c r="LG74" s="86"/>
      <c r="LH74" s="86"/>
      <c r="LI74" s="86"/>
      <c r="LJ74" s="86"/>
      <c r="LK74" s="86"/>
      <c r="LL74" s="86"/>
      <c r="LM74" s="86"/>
      <c r="LN74" s="86"/>
      <c r="LO74" s="86"/>
      <c r="LP74" s="86"/>
      <c r="LQ74" s="86"/>
      <c r="LR74" s="86"/>
      <c r="LS74" s="86"/>
      <c r="LT74" s="86"/>
      <c r="LU74" s="86"/>
      <c r="LV74" s="86"/>
      <c r="LW74" s="86"/>
      <c r="LX74" s="86"/>
      <c r="LY74" s="86"/>
      <c r="LZ74" s="86"/>
      <c r="MA74" s="86"/>
      <c r="MB74" s="86"/>
      <c r="MC74" s="86"/>
      <c r="MD74" s="86"/>
      <c r="ME74" s="86"/>
      <c r="MF74" s="86"/>
      <c r="MG74" s="86"/>
      <c r="MH74" s="86"/>
      <c r="MI74" s="86"/>
      <c r="MJ74" s="86"/>
      <c r="MK74" s="86"/>
      <c r="ML74" s="86"/>
      <c r="MM74" s="86"/>
      <c r="MN74" s="86"/>
      <c r="MO74" s="86"/>
      <c r="MP74" s="86"/>
      <c r="MQ74" s="86"/>
      <c r="MR74" s="86"/>
      <c r="MS74" s="86"/>
      <c r="MT74" s="86"/>
      <c r="MU74" s="86"/>
      <c r="MV74" s="86"/>
      <c r="MW74" s="86"/>
      <c r="MX74" s="86"/>
      <c r="MY74" s="86"/>
      <c r="MZ74" s="86"/>
      <c r="NA74" s="86"/>
      <c r="NB74" s="86"/>
      <c r="NC74" s="86"/>
      <c r="ND74" s="86"/>
      <c r="NE74" s="86"/>
      <c r="NF74" s="86"/>
      <c r="NG74" s="86"/>
      <c r="NH74" s="86"/>
      <c r="NI74" s="86"/>
      <c r="NJ74" s="86"/>
      <c r="NK74" s="86"/>
      <c r="NL74" s="86"/>
      <c r="NM74" s="86"/>
      <c r="NN74" s="86"/>
      <c r="NO74" s="86"/>
      <c r="NP74" s="86"/>
      <c r="NQ74" s="86"/>
      <c r="NR74" s="86"/>
      <c r="NS74" s="86"/>
      <c r="NT74" s="86"/>
      <c r="NU74" s="86"/>
      <c r="NV74" s="86"/>
      <c r="NW74" s="86"/>
      <c r="NX74" s="86"/>
      <c r="NY74" s="86"/>
      <c r="NZ74" s="86"/>
      <c r="OA74" s="86"/>
      <c r="OB74" s="86"/>
      <c r="OC74" s="86"/>
      <c r="OD74" s="86"/>
      <c r="OE74" s="86"/>
      <c r="OF74" s="86"/>
      <c r="OG74" s="86"/>
      <c r="OH74" s="86"/>
      <c r="OI74" s="86"/>
      <c r="OJ74" s="86"/>
      <c r="OK74" s="86"/>
      <c r="OL74" s="86"/>
      <c r="OM74" s="86"/>
      <c r="ON74" s="86"/>
      <c r="OO74" s="86"/>
      <c r="OP74" s="86"/>
      <c r="OQ74" s="86"/>
      <c r="OR74" s="86"/>
      <c r="OS74" s="86"/>
      <c r="OT74" s="86"/>
      <c r="OU74" s="86"/>
      <c r="OV74" s="86"/>
      <c r="OW74" s="86"/>
      <c r="OX74" s="86"/>
      <c r="OY74" s="86"/>
      <c r="OZ74" s="86"/>
      <c r="PA74" s="86"/>
      <c r="PB74" s="86"/>
      <c r="PC74" s="86"/>
      <c r="PD74" s="86"/>
      <c r="PE74" s="86"/>
      <c r="PF74" s="86"/>
      <c r="PG74" s="86"/>
      <c r="PH74" s="86"/>
      <c r="PI74" s="86"/>
      <c r="PJ74" s="86"/>
      <c r="PK74" s="86"/>
      <c r="PL74" s="86"/>
      <c r="PM74" s="86"/>
      <c r="PN74" s="86"/>
      <c r="PO74" s="86"/>
      <c r="PP74" s="86"/>
      <c r="PQ74" s="86"/>
      <c r="PR74" s="86"/>
      <c r="PS74" s="86"/>
      <c r="PT74" s="86"/>
      <c r="PU74" s="86"/>
      <c r="PV74" s="86"/>
      <c r="PW74" s="86"/>
      <c r="PX74" s="86"/>
      <c r="PY74" s="86"/>
      <c r="PZ74" s="86"/>
      <c r="QA74" s="86"/>
      <c r="QB74" s="86"/>
      <c r="QC74" s="86"/>
      <c r="QD74" s="86"/>
      <c r="QE74" s="86"/>
      <c r="QF74" s="86"/>
      <c r="QG74" s="86"/>
      <c r="QH74" s="86"/>
      <c r="QI74" s="86"/>
      <c r="QJ74" s="86"/>
      <c r="QK74" s="86"/>
      <c r="QL74" s="86"/>
      <c r="QM74" s="86"/>
      <c r="QN74" s="86"/>
      <c r="QO74" s="86"/>
      <c r="QP74" s="86"/>
      <c r="QQ74" s="86"/>
      <c r="QR74" s="86"/>
      <c r="QS74" s="86"/>
      <c r="QT74" s="86"/>
      <c r="QU74" s="86"/>
      <c r="QV74" s="86"/>
      <c r="QW74" s="86"/>
      <c r="QX74" s="86"/>
      <c r="QY74" s="86"/>
      <c r="QZ74" s="86"/>
      <c r="RA74" s="86"/>
      <c r="RB74" s="86"/>
      <c r="RC74" s="86"/>
      <c r="RD74" s="86"/>
      <c r="RE74" s="86"/>
      <c r="RF74" s="86"/>
      <c r="RG74" s="86"/>
      <c r="RH74" s="86"/>
      <c r="RI74" s="86"/>
      <c r="RJ74" s="86"/>
      <c r="RK74" s="86"/>
      <c r="RL74" s="86"/>
      <c r="RM74" s="86"/>
      <c r="RN74" s="86"/>
      <c r="RO74" s="86"/>
      <c r="RP74" s="86"/>
      <c r="RQ74" s="86"/>
      <c r="RR74" s="86"/>
      <c r="RS74" s="86"/>
      <c r="RT74" s="86"/>
      <c r="RU74" s="86"/>
      <c r="RV74" s="86"/>
      <c r="RW74" s="86"/>
      <c r="RX74" s="86"/>
      <c r="RY74" s="86"/>
      <c r="RZ74" s="86"/>
      <c r="SA74" s="86"/>
      <c r="SB74" s="86"/>
      <c r="SC74" s="86"/>
      <c r="SD74" s="86"/>
      <c r="SE74" s="86"/>
      <c r="SF74" s="86"/>
      <c r="SG74" s="86"/>
      <c r="SH74" s="86"/>
      <c r="SI74" s="86"/>
      <c r="SJ74" s="86"/>
      <c r="SK74" s="86"/>
      <c r="SL74" s="86"/>
      <c r="SM74" s="86"/>
      <c r="SN74" s="86"/>
      <c r="SO74" s="86"/>
      <c r="SP74" s="86"/>
      <c r="SQ74" s="86"/>
      <c r="SR74" s="86"/>
      <c r="SS74" s="86"/>
      <c r="ST74" s="86"/>
      <c r="SU74" s="86"/>
      <c r="SV74" s="86"/>
      <c r="SW74" s="86"/>
      <c r="SX74" s="86"/>
      <c r="SY74" s="86"/>
      <c r="SZ74" s="86"/>
      <c r="TA74" s="86"/>
      <c r="TB74" s="86"/>
      <c r="TC74" s="86"/>
      <c r="TD74" s="86"/>
      <c r="TE74" s="86"/>
      <c r="TF74" s="86"/>
      <c r="TG74" s="86"/>
      <c r="TH74" s="86"/>
      <c r="TI74" s="86"/>
      <c r="TJ74" s="86"/>
      <c r="TK74" s="86"/>
      <c r="TL74" s="86"/>
      <c r="TM74" s="86"/>
      <c r="TN74" s="86"/>
      <c r="TO74" s="86"/>
      <c r="TP74" s="86"/>
      <c r="TQ74" s="86"/>
      <c r="TR74" s="86"/>
      <c r="TS74" s="86"/>
      <c r="TT74" s="86"/>
      <c r="TU74" s="86"/>
      <c r="TV74" s="86"/>
      <c r="TW74" s="86"/>
      <c r="TX74" s="86"/>
      <c r="TY74" s="86"/>
      <c r="TZ74" s="86"/>
      <c r="UA74" s="86"/>
      <c r="UB74" s="86"/>
      <c r="UC74" s="86"/>
      <c r="UD74" s="86"/>
      <c r="UE74" s="86"/>
      <c r="UF74" s="86"/>
      <c r="UG74" s="86"/>
      <c r="UH74" s="86"/>
      <c r="UI74" s="86"/>
      <c r="UJ74" s="86"/>
      <c r="UK74" s="86"/>
      <c r="UL74" s="86"/>
      <c r="UM74" s="86"/>
      <c r="UN74" s="86"/>
      <c r="UO74" s="86"/>
      <c r="UP74" s="86"/>
      <c r="UQ74" s="86"/>
      <c r="UR74" s="86"/>
      <c r="US74" s="86"/>
      <c r="UT74" s="86"/>
      <c r="UU74" s="86"/>
      <c r="UV74" s="86"/>
      <c r="UW74" s="86"/>
      <c r="UX74" s="86"/>
      <c r="UY74" s="86"/>
      <c r="UZ74" s="86"/>
      <c r="VA74" s="86"/>
      <c r="VB74" s="86"/>
      <c r="VC74" s="86"/>
      <c r="VD74" s="86"/>
      <c r="VE74" s="86"/>
      <c r="VF74" s="86"/>
      <c r="VG74" s="86"/>
      <c r="VH74" s="86"/>
      <c r="VI74" s="86"/>
      <c r="VJ74" s="86"/>
      <c r="VK74" s="86"/>
      <c r="VL74" s="86"/>
      <c r="VM74" s="86"/>
      <c r="VN74" s="86"/>
      <c r="VO74" s="86"/>
      <c r="VP74" s="86"/>
      <c r="VQ74" s="86"/>
      <c r="VR74" s="86"/>
      <c r="VS74" s="86"/>
      <c r="VT74" s="86"/>
      <c r="VU74" s="86"/>
      <c r="VV74" s="86"/>
      <c r="VW74" s="86"/>
      <c r="VX74" s="86"/>
      <c r="VY74" s="86"/>
      <c r="VZ74" s="86"/>
      <c r="WA74" s="86"/>
      <c r="WB74" s="86"/>
      <c r="WC74" s="86"/>
      <c r="WD74" s="86"/>
      <c r="WE74" s="86"/>
      <c r="WF74" s="86"/>
      <c r="WG74" s="86"/>
      <c r="WH74" s="86"/>
      <c r="WI74" s="86"/>
      <c r="WJ74" s="86"/>
      <c r="WK74" s="86"/>
      <c r="WL74" s="86"/>
      <c r="WM74" s="86"/>
      <c r="WN74" s="86"/>
      <c r="WO74" s="86"/>
      <c r="WP74" s="86"/>
      <c r="WQ74" s="86"/>
      <c r="WR74" s="86"/>
      <c r="WS74" s="86"/>
      <c r="WT74" s="86"/>
      <c r="WU74" s="86"/>
      <c r="WV74" s="86"/>
      <c r="WW74" s="86"/>
      <c r="WX74" s="86"/>
      <c r="WY74" s="86"/>
      <c r="WZ74" s="86"/>
      <c r="XA74" s="86"/>
      <c r="XB74" s="86"/>
      <c r="XC74" s="86"/>
      <c r="XD74" s="86"/>
      <c r="XE74" s="86"/>
      <c r="XF74" s="86"/>
      <c r="XG74" s="86"/>
      <c r="XH74" s="86"/>
      <c r="XI74" s="86"/>
      <c r="XJ74" s="86"/>
      <c r="XK74" s="86"/>
      <c r="XL74" s="86"/>
      <c r="XM74" s="86"/>
      <c r="XN74" s="86"/>
      <c r="XO74" s="86"/>
      <c r="XP74" s="86"/>
      <c r="XQ74" s="86"/>
      <c r="XR74" s="86"/>
      <c r="XS74" s="86"/>
      <c r="XT74" s="86"/>
      <c r="XU74" s="86"/>
      <c r="XV74" s="86"/>
      <c r="XW74" s="86"/>
      <c r="XX74" s="86"/>
      <c r="XY74" s="86"/>
      <c r="XZ74" s="86"/>
      <c r="YA74" s="86"/>
      <c r="YB74" s="86"/>
      <c r="YC74" s="86"/>
      <c r="YD74" s="86"/>
      <c r="YE74" s="86"/>
      <c r="YF74" s="86"/>
      <c r="YG74" s="86"/>
      <c r="YH74" s="86"/>
      <c r="YI74" s="86"/>
      <c r="YJ74" s="86"/>
      <c r="YK74" s="86"/>
      <c r="YL74" s="86"/>
      <c r="YM74" s="86"/>
      <c r="YN74" s="86"/>
      <c r="YO74" s="86"/>
      <c r="YP74" s="86"/>
      <c r="YQ74" s="86"/>
      <c r="YR74" s="86"/>
      <c r="YS74" s="86"/>
      <c r="YT74" s="86"/>
      <c r="YU74" s="86"/>
      <c r="YV74" s="86"/>
      <c r="YW74" s="86"/>
      <c r="YX74" s="86"/>
      <c r="YY74" s="86"/>
      <c r="YZ74" s="86"/>
      <c r="ZA74" s="86"/>
      <c r="ZB74" s="86"/>
      <c r="ZC74" s="86"/>
      <c r="ZD74" s="86"/>
      <c r="ZE74" s="86"/>
      <c r="ZF74" s="86"/>
      <c r="ZG74" s="86"/>
      <c r="ZH74" s="86"/>
      <c r="ZI74" s="86"/>
      <c r="ZJ74" s="86"/>
      <c r="ZK74" s="86"/>
      <c r="ZL74" s="86"/>
      <c r="ZM74" s="86"/>
      <c r="ZN74" s="86"/>
      <c r="ZO74" s="86"/>
      <c r="ZP74" s="86"/>
      <c r="ZQ74" s="86"/>
      <c r="ZR74" s="86"/>
      <c r="ZS74" s="86"/>
      <c r="ZT74" s="86"/>
      <c r="ZU74" s="86"/>
      <c r="ZV74" s="86"/>
      <c r="ZW74" s="86"/>
      <c r="ZX74" s="86"/>
      <c r="ZY74" s="86"/>
      <c r="ZZ74" s="86"/>
      <c r="AAA74" s="86"/>
      <c r="AAB74" s="86"/>
      <c r="AAC74" s="86"/>
      <c r="AAD74" s="86"/>
      <c r="AAE74" s="86"/>
      <c r="AAF74" s="86"/>
      <c r="AAG74" s="86"/>
      <c r="AAH74" s="86"/>
      <c r="AAI74" s="86"/>
      <c r="AAJ74" s="86"/>
      <c r="AAK74" s="86"/>
      <c r="AAL74" s="86"/>
      <c r="AAM74" s="86"/>
      <c r="AAN74" s="86"/>
      <c r="AAO74" s="86"/>
      <c r="AAP74" s="86"/>
      <c r="AAQ74" s="86"/>
      <c r="AAR74" s="86"/>
      <c r="AAS74" s="86"/>
      <c r="AAT74" s="86"/>
      <c r="AAU74" s="86"/>
      <c r="AAV74" s="86"/>
      <c r="AAW74" s="86"/>
      <c r="AAX74" s="86"/>
      <c r="AAY74" s="86"/>
      <c r="AAZ74" s="86"/>
      <c r="ABA74" s="86"/>
      <c r="ABB74" s="86"/>
      <c r="ABC74" s="86"/>
      <c r="ABD74" s="86"/>
      <c r="ABE74" s="86"/>
      <c r="ABF74" s="86"/>
      <c r="ABG74" s="86"/>
      <c r="ABH74" s="86"/>
      <c r="ABI74" s="86"/>
      <c r="ABJ74" s="86"/>
      <c r="ABK74" s="86"/>
      <c r="ABL74" s="86"/>
      <c r="ABM74" s="86"/>
      <c r="ABN74" s="86"/>
      <c r="ABO74" s="86"/>
      <c r="ABP74" s="86"/>
      <c r="ABQ74" s="86"/>
      <c r="ABR74" s="86"/>
      <c r="ABS74" s="86"/>
      <c r="ABT74" s="86"/>
      <c r="ABU74" s="86"/>
      <c r="ABV74" s="86"/>
      <c r="ABW74" s="86"/>
      <c r="ABX74" s="86"/>
      <c r="ABY74" s="86"/>
      <c r="ABZ74" s="86"/>
      <c r="ACA74" s="86"/>
      <c r="ACB74" s="86"/>
      <c r="ACC74" s="86"/>
      <c r="ACD74" s="86"/>
      <c r="ACE74" s="86"/>
      <c r="ACF74" s="86"/>
      <c r="ACG74" s="86"/>
      <c r="ACH74" s="86"/>
      <c r="ACI74" s="86"/>
      <c r="ACJ74" s="86"/>
      <c r="ACK74" s="86"/>
      <c r="ACL74" s="86"/>
      <c r="ACM74" s="86"/>
      <c r="ACN74" s="86"/>
      <c r="ACO74" s="86"/>
      <c r="ACP74" s="86"/>
      <c r="ACQ74" s="86"/>
      <c r="ACR74" s="86"/>
      <c r="ACS74" s="86"/>
      <c r="ACT74" s="86"/>
      <c r="ACU74" s="86"/>
      <c r="ACV74" s="86"/>
      <c r="ACW74" s="86"/>
      <c r="ACX74" s="86"/>
      <c r="ACY74" s="86"/>
      <c r="ACZ74" s="86"/>
      <c r="ADA74" s="86"/>
      <c r="ADB74" s="86"/>
      <c r="ADC74" s="86"/>
      <c r="ADD74" s="86"/>
      <c r="ADE74" s="86"/>
      <c r="ADF74" s="86"/>
      <c r="ADG74" s="86"/>
      <c r="ADH74" s="86"/>
      <c r="ADI74" s="86"/>
      <c r="ADJ74" s="86"/>
      <c r="ADK74" s="86"/>
      <c r="ADL74" s="86"/>
      <c r="ADM74" s="86"/>
      <c r="ADN74" s="86"/>
      <c r="ADO74" s="86"/>
      <c r="ADP74" s="86"/>
      <c r="ADQ74" s="86"/>
      <c r="ADR74" s="86"/>
      <c r="ADS74" s="86"/>
      <c r="ADT74" s="86"/>
      <c r="ADU74" s="86"/>
      <c r="ADV74" s="86"/>
      <c r="ADW74" s="86"/>
      <c r="ADX74" s="86"/>
      <c r="ADY74" s="86"/>
      <c r="ADZ74" s="86"/>
      <c r="AEA74" s="86"/>
      <c r="AEB74" s="86"/>
      <c r="AEC74" s="86"/>
      <c r="AED74" s="86"/>
      <c r="AEE74" s="86"/>
      <c r="AEF74" s="86"/>
      <c r="AEG74" s="86"/>
      <c r="AEH74" s="86"/>
      <c r="AEI74" s="86"/>
      <c r="AEJ74" s="86"/>
      <c r="AEK74" s="86"/>
      <c r="AEL74" s="86"/>
      <c r="AEM74" s="86"/>
      <c r="AEN74" s="86"/>
      <c r="AEO74" s="86"/>
      <c r="AEP74" s="86"/>
      <c r="AEQ74" s="86"/>
      <c r="AER74" s="86"/>
      <c r="AES74" s="86"/>
      <c r="AET74" s="86"/>
      <c r="AEU74" s="86"/>
      <c r="AEV74" s="86"/>
      <c r="AEW74" s="86"/>
      <c r="AEX74" s="86"/>
      <c r="AEY74" s="86"/>
      <c r="AEZ74" s="86"/>
      <c r="AFA74" s="86"/>
      <c r="AFB74" s="86"/>
      <c r="AFC74" s="86"/>
      <c r="AFD74" s="86"/>
      <c r="AFE74" s="86"/>
      <c r="AFF74" s="86"/>
      <c r="AFG74" s="86"/>
      <c r="AFH74" s="86"/>
      <c r="AFI74" s="86"/>
      <c r="AFJ74" s="86"/>
      <c r="AFK74" s="86"/>
      <c r="AFL74" s="86"/>
      <c r="AFM74" s="86"/>
      <c r="AFN74" s="86"/>
      <c r="AFO74" s="86"/>
      <c r="AFP74" s="86"/>
      <c r="AFQ74" s="86"/>
      <c r="AFR74" s="86"/>
      <c r="AFS74" s="86"/>
      <c r="AFT74" s="86"/>
      <c r="AFU74" s="86"/>
      <c r="AFV74" s="86"/>
      <c r="AFW74" s="86"/>
      <c r="AFX74" s="86"/>
      <c r="AFY74" s="86"/>
      <c r="AFZ74" s="86"/>
      <c r="AGA74" s="86"/>
      <c r="AGB74" s="86"/>
      <c r="AGC74" s="86"/>
      <c r="AGD74" s="86"/>
      <c r="AGE74" s="86"/>
      <c r="AGF74" s="86"/>
      <c r="AGG74" s="86"/>
      <c r="AGH74" s="86"/>
      <c r="AGI74" s="86"/>
      <c r="AGJ74" s="86"/>
      <c r="AGK74" s="86"/>
      <c r="AGL74" s="86"/>
      <c r="AGM74" s="86"/>
      <c r="AGN74" s="86"/>
      <c r="AGO74" s="86"/>
      <c r="AGP74" s="86"/>
      <c r="AGQ74" s="86"/>
      <c r="AGR74" s="86"/>
      <c r="AGS74" s="86"/>
      <c r="AGT74" s="86"/>
      <c r="AGU74" s="86"/>
      <c r="AGV74" s="86"/>
      <c r="AGW74" s="86"/>
      <c r="AGX74" s="86"/>
      <c r="AGY74" s="86"/>
      <c r="AGZ74" s="86"/>
      <c r="AHA74" s="86"/>
      <c r="AHB74" s="86"/>
      <c r="AHC74" s="86"/>
      <c r="AHD74" s="86"/>
      <c r="AHE74" s="86"/>
      <c r="AHF74" s="86"/>
      <c r="AHG74" s="86"/>
      <c r="AHH74" s="86"/>
      <c r="AHI74" s="86"/>
      <c r="AHJ74" s="86"/>
      <c r="AHK74" s="86"/>
      <c r="AHL74" s="86"/>
      <c r="AHM74" s="86"/>
      <c r="AHN74" s="86"/>
      <c r="AHO74" s="86"/>
      <c r="AHP74" s="86"/>
      <c r="AHQ74" s="86"/>
      <c r="AHR74" s="86"/>
      <c r="AHS74" s="86"/>
      <c r="AHT74" s="86"/>
      <c r="AHU74" s="86"/>
      <c r="AHV74" s="86"/>
      <c r="AHW74" s="86"/>
      <c r="AHX74" s="86"/>
      <c r="AHY74" s="86"/>
      <c r="AHZ74" s="86"/>
      <c r="AIA74" s="86"/>
      <c r="AIB74" s="86"/>
      <c r="AIC74" s="86"/>
      <c r="AID74" s="86"/>
      <c r="AIE74" s="86"/>
      <c r="AIF74" s="86"/>
      <c r="AIG74" s="86"/>
      <c r="AIH74" s="86"/>
      <c r="AII74" s="86"/>
      <c r="AIJ74" s="86"/>
      <c r="AIK74" s="86"/>
      <c r="AIL74" s="86"/>
      <c r="AIM74" s="86"/>
      <c r="AIN74" s="86"/>
      <c r="AIO74" s="86"/>
      <c r="AIP74" s="86"/>
      <c r="AIQ74" s="86"/>
      <c r="AIR74" s="86"/>
      <c r="AIS74" s="86"/>
      <c r="AIT74" s="86"/>
      <c r="AIU74" s="86"/>
      <c r="AIV74" s="86"/>
      <c r="AIW74" s="86"/>
      <c r="AIX74" s="86"/>
      <c r="AIY74" s="86"/>
      <c r="AIZ74" s="86"/>
      <c r="AJA74" s="86"/>
      <c r="AJB74" s="86"/>
      <c r="AJC74" s="86"/>
      <c r="AJD74" s="86"/>
      <c r="AJE74" s="86"/>
      <c r="AJF74" s="86"/>
      <c r="AJG74" s="86"/>
      <c r="AJH74" s="86"/>
      <c r="AJI74" s="86"/>
      <c r="AJJ74" s="86"/>
      <c r="AJK74" s="86"/>
      <c r="AJL74" s="86"/>
      <c r="AJM74" s="86"/>
      <c r="AJN74" s="86"/>
      <c r="AJO74" s="86"/>
      <c r="AJP74" s="86"/>
      <c r="AJQ74" s="86"/>
      <c r="AJR74" s="86"/>
      <c r="AJS74" s="86"/>
      <c r="AJT74" s="86"/>
      <c r="AJU74" s="86"/>
      <c r="AJV74" s="86"/>
      <c r="AJW74" s="86"/>
      <c r="AJX74" s="86"/>
      <c r="AJY74" s="86"/>
      <c r="AJZ74" s="86"/>
      <c r="AKA74" s="86"/>
      <c r="AKB74" s="86"/>
      <c r="AKC74" s="86"/>
      <c r="AKD74" s="86"/>
      <c r="AKE74" s="86"/>
      <c r="AKF74" s="86"/>
      <c r="AKG74" s="86"/>
      <c r="AKH74" s="86"/>
      <c r="AKI74" s="86"/>
      <c r="AKJ74" s="86"/>
      <c r="AKK74" s="86"/>
      <c r="AKL74" s="86"/>
      <c r="AKM74" s="86"/>
      <c r="AKN74" s="86"/>
      <c r="AKO74" s="86"/>
      <c r="AKP74" s="86"/>
      <c r="AKQ74" s="86"/>
      <c r="AKR74" s="86"/>
      <c r="AKS74" s="86"/>
      <c r="AKT74" s="86"/>
      <c r="AKU74" s="86"/>
      <c r="AKV74" s="86"/>
      <c r="AKW74" s="86"/>
      <c r="AKX74" s="86"/>
      <c r="AKY74" s="86"/>
      <c r="AKZ74" s="86"/>
      <c r="ALA74" s="86"/>
      <c r="ALB74" s="86"/>
      <c r="ALC74" s="86"/>
      <c r="ALD74" s="86"/>
      <c r="ALE74" s="86"/>
      <c r="ALF74" s="86"/>
      <c r="ALG74" s="86"/>
      <c r="ALH74" s="86"/>
      <c r="ALI74" s="86"/>
      <c r="ALJ74" s="86"/>
      <c r="ALK74" s="86"/>
      <c r="ALL74" s="86"/>
      <c r="ALM74" s="86"/>
      <c r="ALN74" s="86"/>
      <c r="ALO74" s="86"/>
      <c r="ALP74" s="86"/>
      <c r="ALQ74" s="86"/>
      <c r="ALR74" s="86"/>
      <c r="ALS74" s="86"/>
      <c r="ALT74" s="86"/>
      <c r="ALU74" s="86"/>
      <c r="ALV74" s="86"/>
      <c r="ALW74" s="86"/>
      <c r="ALX74" s="86"/>
      <c r="ALY74" s="86"/>
      <c r="ALZ74" s="86"/>
      <c r="AMA74" s="86"/>
      <c r="AMB74" s="86"/>
      <c r="AMC74" s="86"/>
      <c r="AMD74" s="86"/>
      <c r="AME74" s="86"/>
      <c r="AMF74" s="86"/>
      <c r="AMG74" s="86"/>
      <c r="AMH74" s="86"/>
      <c r="AMI74" s="86"/>
      <c r="AMJ74" s="86"/>
    </row>
    <row r="75" spans="1:1024" ht="15" customHeight="1" x14ac:dyDescent="0.25">
      <c r="A75" s="22"/>
      <c r="B75" s="15"/>
      <c r="C75" s="66"/>
      <c r="D75" s="87"/>
      <c r="E75" s="88"/>
      <c r="F75" s="26"/>
      <c r="G75" s="19"/>
      <c r="H75" s="19"/>
      <c r="I75" s="28"/>
      <c r="J75" s="1"/>
      <c r="L75" s="21"/>
    </row>
    <row r="76" spans="1:1024" ht="15" customHeight="1" x14ac:dyDescent="0.25">
      <c r="A76" s="22"/>
      <c r="B76" s="15"/>
      <c r="C76" s="66"/>
      <c r="D76" s="87"/>
      <c r="E76" s="67"/>
      <c r="F76" s="26"/>
      <c r="G76" s="19"/>
      <c r="H76" s="19"/>
      <c r="I76" s="28"/>
      <c r="J76" s="1"/>
      <c r="L76" s="21"/>
    </row>
    <row r="77" spans="1:1024" ht="15" customHeight="1" x14ac:dyDescent="0.25">
      <c r="A77" s="22"/>
      <c r="B77" s="15"/>
      <c r="C77" s="66"/>
      <c r="D77" s="87"/>
      <c r="E77" s="67"/>
      <c r="F77" s="26"/>
      <c r="G77" s="19"/>
      <c r="H77" s="19"/>
      <c r="I77" s="28"/>
      <c r="J77" s="1"/>
      <c r="L77" s="21"/>
    </row>
    <row r="78" spans="1:1024" ht="15" customHeight="1" x14ac:dyDescent="0.25">
      <c r="A78" s="22"/>
      <c r="B78" s="15"/>
      <c r="C78" s="66"/>
      <c r="D78" s="87"/>
      <c r="E78" s="67"/>
      <c r="F78" s="26"/>
      <c r="G78" s="19"/>
      <c r="H78" s="19"/>
      <c r="I78" s="28"/>
      <c r="J78" s="1"/>
      <c r="L78" s="21"/>
    </row>
    <row r="79" spans="1:1024" x14ac:dyDescent="0.25">
      <c r="A79" s="22"/>
      <c r="B79" s="15"/>
      <c r="C79" s="66"/>
      <c r="D79" s="57"/>
      <c r="E79" s="67"/>
      <c r="F79" s="26"/>
      <c r="G79" s="19"/>
      <c r="H79" s="19"/>
      <c r="I79" s="28"/>
      <c r="J79" s="1"/>
      <c r="L79" s="21"/>
    </row>
    <row r="80" spans="1:1024" ht="15" customHeight="1" x14ac:dyDescent="0.25">
      <c r="A80" s="22"/>
      <c r="B80" s="15"/>
      <c r="C80" s="62"/>
      <c r="D80" s="89"/>
      <c r="E80" s="63"/>
      <c r="F80" s="26"/>
      <c r="G80" s="19"/>
      <c r="H80" s="19"/>
      <c r="I80" s="28"/>
      <c r="J80" s="1"/>
      <c r="L80" s="21"/>
    </row>
    <row r="81" spans="1:12" x14ac:dyDescent="0.25">
      <c r="A81" s="22"/>
      <c r="B81" s="15"/>
      <c r="C81" s="60"/>
      <c r="D81" s="25"/>
      <c r="E81" s="63"/>
      <c r="F81" s="26"/>
      <c r="G81" s="19"/>
      <c r="H81" s="19"/>
      <c r="I81" s="28"/>
      <c r="J81" s="1"/>
      <c r="L81" s="21"/>
    </row>
    <row r="82" spans="1:12" ht="15" customHeight="1" x14ac:dyDescent="0.25">
      <c r="A82" s="22"/>
      <c r="B82" s="15"/>
      <c r="C82" s="62"/>
      <c r="D82" s="90"/>
      <c r="E82" s="63"/>
      <c r="F82" s="26"/>
      <c r="G82" s="19"/>
      <c r="H82" s="19"/>
      <c r="I82" s="28"/>
      <c r="J82" s="1"/>
      <c r="L82" s="21"/>
    </row>
    <row r="83" spans="1:12" ht="15" customHeight="1" x14ac:dyDescent="0.25">
      <c r="A83" s="22"/>
      <c r="B83" s="15"/>
      <c r="C83" s="62"/>
      <c r="D83" s="90"/>
      <c r="E83" s="63"/>
      <c r="F83" s="26"/>
      <c r="G83" s="19"/>
      <c r="H83" s="19"/>
      <c r="I83" s="28"/>
      <c r="J83" s="1"/>
      <c r="L83" s="21"/>
    </row>
    <row r="84" spans="1:12" x14ac:dyDescent="0.25">
      <c r="A84" s="22"/>
      <c r="B84" s="15"/>
      <c r="C84" s="62"/>
      <c r="D84" s="25"/>
      <c r="E84" s="63"/>
      <c r="F84" s="26"/>
      <c r="G84" s="19"/>
      <c r="H84" s="19"/>
      <c r="I84" s="28"/>
      <c r="J84" s="1"/>
      <c r="L84" s="21"/>
    </row>
    <row r="85" spans="1:12" ht="15" customHeight="1" x14ac:dyDescent="0.25">
      <c r="A85" s="22"/>
      <c r="B85" s="15"/>
      <c r="C85" s="62"/>
      <c r="D85" s="90"/>
      <c r="E85" s="63"/>
      <c r="F85" s="26"/>
      <c r="G85" s="19"/>
      <c r="H85" s="19"/>
      <c r="I85" s="28"/>
      <c r="J85" s="1"/>
      <c r="L85" s="21"/>
    </row>
    <row r="86" spans="1:12" ht="15" customHeight="1" x14ac:dyDescent="0.25">
      <c r="A86" s="22"/>
      <c r="B86" s="15"/>
      <c r="C86" s="62"/>
      <c r="D86" s="90"/>
      <c r="E86" s="63"/>
      <c r="F86" s="26"/>
      <c r="G86" s="19"/>
      <c r="H86" s="19"/>
      <c r="I86" s="28"/>
      <c r="J86" s="1"/>
      <c r="L86" s="21"/>
    </row>
    <row r="87" spans="1:12" ht="15" customHeight="1" x14ac:dyDescent="0.25">
      <c r="A87" s="22"/>
      <c r="B87" s="15"/>
      <c r="C87" s="62"/>
      <c r="D87" s="90"/>
      <c r="E87" s="63"/>
      <c r="F87" s="26"/>
      <c r="G87" s="19"/>
      <c r="H87" s="19"/>
      <c r="I87" s="28"/>
      <c r="J87" s="1"/>
      <c r="L87" s="21"/>
    </row>
    <row r="88" spans="1:12" ht="15" customHeight="1" x14ac:dyDescent="0.25">
      <c r="A88" s="22"/>
      <c r="B88" s="15"/>
      <c r="C88" s="62"/>
      <c r="D88" s="90"/>
      <c r="E88" s="63"/>
      <c r="F88" s="26"/>
      <c r="G88" s="19"/>
      <c r="H88" s="19"/>
      <c r="I88" s="28"/>
      <c r="J88" s="1"/>
      <c r="L88" s="21"/>
    </row>
    <row r="89" spans="1:12" ht="15" customHeight="1" x14ac:dyDescent="0.25">
      <c r="A89" s="22"/>
      <c r="B89" s="15"/>
      <c r="C89" s="62"/>
      <c r="D89" s="90"/>
      <c r="E89" s="63"/>
      <c r="F89" s="26"/>
      <c r="G89" s="19"/>
      <c r="H89" s="19"/>
      <c r="I89" s="28"/>
      <c r="J89" s="1"/>
      <c r="L89" s="21"/>
    </row>
    <row r="90" spans="1:12" ht="15" customHeight="1" x14ac:dyDescent="0.25">
      <c r="A90" s="22"/>
      <c r="B90" s="15"/>
      <c r="C90" s="62"/>
      <c r="D90" s="90"/>
      <c r="E90" s="63"/>
      <c r="F90" s="26"/>
      <c r="G90" s="19"/>
      <c r="H90" s="19"/>
      <c r="I90" s="28"/>
      <c r="J90" s="1"/>
      <c r="L90" s="21"/>
    </row>
    <row r="91" spans="1:12" ht="15" customHeight="1" x14ac:dyDescent="0.25">
      <c r="A91" s="22"/>
      <c r="B91" s="15"/>
      <c r="C91" s="62"/>
      <c r="D91" s="90"/>
      <c r="E91" s="63"/>
      <c r="F91" s="26"/>
      <c r="G91" s="19"/>
      <c r="H91" s="19"/>
      <c r="I91" s="28"/>
      <c r="J91" s="1"/>
      <c r="L91" s="21"/>
    </row>
    <row r="92" spans="1:12" ht="15" customHeight="1" x14ac:dyDescent="0.25">
      <c r="A92" s="22"/>
      <c r="B92" s="15"/>
      <c r="C92" s="62"/>
      <c r="D92" s="90"/>
      <c r="E92" s="63"/>
      <c r="F92" s="26"/>
      <c r="G92" s="19"/>
      <c r="H92" s="19"/>
      <c r="I92" s="28"/>
      <c r="J92" s="1"/>
      <c r="L92" s="21"/>
    </row>
    <row r="93" spans="1:12" ht="15" customHeight="1" x14ac:dyDescent="0.25">
      <c r="A93" s="22"/>
      <c r="B93" s="15"/>
      <c r="C93" s="62"/>
      <c r="D93" s="90"/>
      <c r="E93" s="63"/>
      <c r="F93" s="26"/>
      <c r="G93" s="19"/>
      <c r="H93" s="19"/>
      <c r="I93" s="28"/>
      <c r="J93" s="1"/>
      <c r="L93" s="21"/>
    </row>
    <row r="94" spans="1:12" ht="15" customHeight="1" x14ac:dyDescent="0.25">
      <c r="A94" s="22"/>
      <c r="B94" s="15"/>
      <c r="C94" s="62"/>
      <c r="D94" s="90"/>
      <c r="E94" s="63"/>
      <c r="F94" s="26"/>
      <c r="G94" s="19"/>
      <c r="H94" s="19"/>
      <c r="I94" s="28"/>
      <c r="J94" s="1"/>
      <c r="L94" s="21"/>
    </row>
    <row r="95" spans="1:12" ht="15" customHeight="1" x14ac:dyDescent="0.25">
      <c r="A95" s="22"/>
      <c r="B95" s="15"/>
      <c r="C95" s="62"/>
      <c r="D95" s="90"/>
      <c r="E95" s="63"/>
      <c r="F95" s="26"/>
      <c r="G95" s="19"/>
      <c r="H95" s="19"/>
      <c r="I95" s="28"/>
      <c r="J95" s="1"/>
      <c r="L95" s="21"/>
    </row>
    <row r="96" spans="1:12" ht="15" customHeight="1" x14ac:dyDescent="0.25">
      <c r="A96" s="22"/>
      <c r="B96" s="15"/>
      <c r="C96" s="62"/>
      <c r="D96" s="90"/>
      <c r="E96" s="63"/>
      <c r="F96" s="26"/>
      <c r="G96" s="19"/>
      <c r="H96" s="19"/>
      <c r="I96" s="28"/>
      <c r="J96" s="1"/>
      <c r="L96" s="21"/>
    </row>
    <row r="97" spans="1:12" ht="15" customHeight="1" x14ac:dyDescent="0.25">
      <c r="A97" s="22"/>
      <c r="B97" s="15"/>
      <c r="C97" s="62"/>
      <c r="D97" s="90"/>
      <c r="E97" s="63"/>
      <c r="F97" s="26"/>
      <c r="G97" s="19"/>
      <c r="H97" s="19"/>
      <c r="I97" s="28"/>
      <c r="J97" s="1"/>
      <c r="L97" s="21"/>
    </row>
    <row r="98" spans="1:12" ht="15" customHeight="1" x14ac:dyDescent="0.25">
      <c r="A98" s="22"/>
      <c r="B98" s="15"/>
      <c r="C98" s="62"/>
      <c r="D98" s="90"/>
      <c r="E98" s="63"/>
      <c r="F98" s="26"/>
      <c r="G98" s="19"/>
      <c r="H98" s="19"/>
      <c r="I98" s="28"/>
      <c r="J98" s="1"/>
      <c r="L98" s="21"/>
    </row>
    <row r="99" spans="1:12" ht="15" customHeight="1" x14ac:dyDescent="0.25">
      <c r="A99" s="22"/>
      <c r="B99" s="15"/>
      <c r="C99" s="62"/>
      <c r="D99" s="91"/>
      <c r="E99" s="63"/>
      <c r="F99" s="26"/>
      <c r="G99" s="19"/>
      <c r="H99" s="19"/>
      <c r="I99" s="28"/>
      <c r="J99" s="1"/>
      <c r="L99" s="21"/>
    </row>
    <row r="100" spans="1:12" s="98" customFormat="1" ht="15" customHeight="1" x14ac:dyDescent="0.25">
      <c r="A100" s="80"/>
      <c r="B100" s="92"/>
      <c r="C100" s="93"/>
      <c r="D100" s="94"/>
      <c r="E100" s="95"/>
      <c r="F100" s="96"/>
      <c r="G100" s="95"/>
      <c r="H100" s="95"/>
      <c r="I100" s="97"/>
      <c r="J100" s="1"/>
    </row>
    <row r="101" spans="1:12" s="98" customFormat="1" ht="15" customHeight="1" x14ac:dyDescent="0.25">
      <c r="A101" s="80"/>
      <c r="B101" s="99"/>
      <c r="C101" s="93"/>
      <c r="D101" s="100"/>
      <c r="F101" s="101"/>
      <c r="G101" s="102"/>
      <c r="H101" s="102"/>
      <c r="I101" s="97"/>
      <c r="J101" s="1"/>
    </row>
    <row r="102" spans="1:12" s="98" customFormat="1" x14ac:dyDescent="0.25">
      <c r="A102" s="80"/>
      <c r="B102" s="99"/>
      <c r="C102" s="103"/>
      <c r="E102" s="103"/>
      <c r="F102" s="104"/>
      <c r="G102" s="103"/>
      <c r="H102" s="103"/>
      <c r="I102" s="97"/>
      <c r="J102" s="1"/>
    </row>
    <row r="103" spans="1:12" s="98" customFormat="1" ht="15.75" x14ac:dyDescent="0.25">
      <c r="A103" s="80"/>
      <c r="C103" s="103"/>
      <c r="D103" s="105" t="s">
        <v>8</v>
      </c>
      <c r="E103" s="106">
        <f>SUM(E5:F102)</f>
        <v>0</v>
      </c>
      <c r="F103" s="104"/>
      <c r="G103" s="103">
        <f>SUM(G5:G102)</f>
        <v>314</v>
      </c>
      <c r="H103" s="103">
        <f>SUM(H5:H102)</f>
        <v>162</v>
      </c>
      <c r="I103" s="97"/>
      <c r="J103" s="1"/>
    </row>
    <row r="104" spans="1:12" s="98" customFormat="1" x14ac:dyDescent="0.25">
      <c r="A104" s="80"/>
      <c r="B104" s="107"/>
      <c r="C104" s="107"/>
      <c r="D104" s="107"/>
      <c r="E104" s="107"/>
      <c r="F104" s="107"/>
      <c r="G104" s="107"/>
      <c r="H104" s="107"/>
      <c r="I104" s="107"/>
      <c r="J104" s="1"/>
    </row>
    <row r="105" spans="1:12" s="98" customFormat="1" x14ac:dyDescent="0.25">
      <c r="C105" s="103"/>
      <c r="E105" s="103"/>
      <c r="F105" s="103"/>
      <c r="G105" s="103"/>
      <c r="H105" s="103"/>
      <c r="I105" s="108"/>
    </row>
    <row r="106" spans="1:12" s="98" customFormat="1" x14ac:dyDescent="0.25">
      <c r="C106" s="103"/>
      <c r="E106" s="103"/>
      <c r="F106" s="103"/>
      <c r="G106" s="103"/>
      <c r="H106" s="103"/>
      <c r="I106" s="108"/>
    </row>
    <row r="107" spans="1:12" s="98" customFormat="1" x14ac:dyDescent="0.25">
      <c r="C107" s="103"/>
      <c r="E107" s="103"/>
      <c r="F107" s="103"/>
      <c r="G107" s="103"/>
      <c r="H107" s="103"/>
      <c r="I107" s="108"/>
    </row>
    <row r="108" spans="1:12" s="98" customFormat="1" x14ac:dyDescent="0.25">
      <c r="C108" s="103"/>
      <c r="E108" s="103"/>
      <c r="F108" s="103"/>
      <c r="G108" s="103"/>
      <c r="H108" s="103"/>
      <c r="I108" s="108"/>
    </row>
    <row r="109" spans="1:12" s="98" customFormat="1" x14ac:dyDescent="0.25">
      <c r="C109" s="103"/>
      <c r="E109" s="103"/>
      <c r="F109" s="103"/>
      <c r="G109" s="103"/>
      <c r="H109" s="103"/>
      <c r="I109" s="108"/>
    </row>
    <row r="110" spans="1:12" s="98" customFormat="1" x14ac:dyDescent="0.25">
      <c r="C110" s="103"/>
      <c r="E110" s="103"/>
      <c r="F110" s="103"/>
      <c r="G110" s="103"/>
      <c r="H110" s="103"/>
      <c r="I110" s="108"/>
    </row>
    <row r="111" spans="1:12" s="98" customFormat="1" x14ac:dyDescent="0.25">
      <c r="C111" s="103"/>
      <c r="E111" s="103"/>
      <c r="F111" s="103"/>
      <c r="G111" s="103"/>
      <c r="H111" s="103"/>
      <c r="I111" s="108"/>
    </row>
    <row r="112" spans="1:12" s="98" customFormat="1" x14ac:dyDescent="0.25">
      <c r="C112" s="103"/>
      <c r="E112" s="103"/>
      <c r="F112" s="103"/>
      <c r="G112" s="103"/>
      <c r="H112" s="103"/>
      <c r="I112" s="108"/>
    </row>
    <row r="113" spans="3:9" s="98" customFormat="1" x14ac:dyDescent="0.25">
      <c r="C113" s="103"/>
      <c r="E113" s="103"/>
      <c r="F113" s="103"/>
      <c r="G113" s="103"/>
      <c r="H113" s="103"/>
      <c r="I113" s="108"/>
    </row>
    <row r="114" spans="3:9" s="98" customFormat="1" x14ac:dyDescent="0.25">
      <c r="C114" s="103"/>
      <c r="E114" s="103"/>
      <c r="F114" s="103"/>
      <c r="G114" s="103"/>
      <c r="H114" s="103"/>
      <c r="I114" s="108"/>
    </row>
    <row r="115" spans="3:9" s="98" customFormat="1" x14ac:dyDescent="0.25">
      <c r="C115" s="103"/>
      <c r="E115" s="103"/>
      <c r="F115" s="103"/>
      <c r="G115" s="103"/>
      <c r="H115" s="103"/>
      <c r="I115" s="108"/>
    </row>
    <row r="116" spans="3:9" s="98" customFormat="1" x14ac:dyDescent="0.25">
      <c r="C116" s="103"/>
      <c r="E116" s="103"/>
      <c r="F116" s="103"/>
      <c r="G116" s="103"/>
      <c r="H116" s="103"/>
      <c r="I116" s="108"/>
    </row>
    <row r="117" spans="3:9" s="98" customFormat="1" x14ac:dyDescent="0.25">
      <c r="C117" s="103"/>
      <c r="E117" s="103"/>
      <c r="F117" s="103"/>
      <c r="G117" s="103"/>
      <c r="H117" s="103"/>
      <c r="I117" s="108"/>
    </row>
    <row r="118" spans="3:9" s="98" customFormat="1" x14ac:dyDescent="0.25">
      <c r="C118" s="103"/>
      <c r="E118" s="103"/>
      <c r="F118" s="103"/>
      <c r="G118" s="103"/>
      <c r="H118" s="103"/>
      <c r="I118" s="108"/>
    </row>
    <row r="119" spans="3:9" s="98" customFormat="1" x14ac:dyDescent="0.25">
      <c r="C119" s="103"/>
      <c r="E119" s="103"/>
      <c r="F119" s="103"/>
      <c r="G119" s="103"/>
      <c r="H119" s="103"/>
      <c r="I119" s="108"/>
    </row>
    <row r="120" spans="3:9" s="98" customFormat="1" x14ac:dyDescent="0.25">
      <c r="C120" s="103"/>
      <c r="E120" s="103"/>
      <c r="F120" s="103"/>
      <c r="G120" s="103"/>
      <c r="H120" s="103"/>
      <c r="I120" s="108"/>
    </row>
    <row r="121" spans="3:9" s="98" customFormat="1" x14ac:dyDescent="0.25">
      <c r="C121" s="103"/>
      <c r="E121" s="103"/>
      <c r="F121" s="103"/>
      <c r="G121" s="103"/>
      <c r="H121" s="103"/>
      <c r="I121" s="108"/>
    </row>
    <row r="122" spans="3:9" s="98" customFormat="1" x14ac:dyDescent="0.25">
      <c r="C122" s="103"/>
      <c r="E122" s="103"/>
      <c r="F122" s="103"/>
      <c r="G122" s="103"/>
      <c r="H122" s="103"/>
      <c r="I122" s="108"/>
    </row>
    <row r="123" spans="3:9" s="98" customFormat="1" x14ac:dyDescent="0.25">
      <c r="C123" s="103"/>
      <c r="E123" s="103"/>
      <c r="F123" s="103"/>
      <c r="G123" s="103"/>
      <c r="H123" s="103"/>
      <c r="I123" s="108"/>
    </row>
    <row r="124" spans="3:9" s="98" customFormat="1" x14ac:dyDescent="0.25">
      <c r="C124" s="103"/>
      <c r="E124" s="103"/>
      <c r="F124" s="103"/>
      <c r="G124" s="103"/>
      <c r="H124" s="103"/>
      <c r="I124" s="108"/>
    </row>
    <row r="125" spans="3:9" s="98" customFormat="1" x14ac:dyDescent="0.25">
      <c r="C125" s="103"/>
      <c r="E125" s="103"/>
      <c r="F125" s="103"/>
      <c r="G125" s="103"/>
      <c r="H125" s="103"/>
      <c r="I125" s="108"/>
    </row>
    <row r="126" spans="3:9" s="98" customFormat="1" x14ac:dyDescent="0.25">
      <c r="C126" s="103"/>
      <c r="E126" s="103"/>
      <c r="F126" s="103"/>
      <c r="G126" s="103"/>
      <c r="H126" s="103"/>
      <c r="I126" s="108"/>
    </row>
    <row r="127" spans="3:9" s="98" customFormat="1" x14ac:dyDescent="0.25">
      <c r="C127" s="103"/>
      <c r="E127" s="103"/>
      <c r="F127" s="103"/>
      <c r="G127" s="103"/>
      <c r="H127" s="103"/>
      <c r="I127" s="108"/>
    </row>
    <row r="128" spans="3:9" s="98" customFormat="1" x14ac:dyDescent="0.25">
      <c r="C128" s="103"/>
      <c r="E128" s="103"/>
      <c r="F128" s="103"/>
      <c r="G128" s="103"/>
      <c r="H128" s="103"/>
      <c r="I128" s="108"/>
    </row>
    <row r="129" spans="3:9" s="98" customFormat="1" x14ac:dyDescent="0.25">
      <c r="C129" s="103"/>
      <c r="E129" s="103"/>
      <c r="F129" s="103"/>
      <c r="G129" s="103"/>
      <c r="H129" s="103"/>
      <c r="I129" s="108"/>
    </row>
    <row r="130" spans="3:9" s="98" customFormat="1" x14ac:dyDescent="0.25">
      <c r="C130" s="103"/>
      <c r="E130" s="103"/>
      <c r="F130" s="103"/>
      <c r="G130" s="103"/>
      <c r="H130" s="103"/>
      <c r="I130" s="108"/>
    </row>
    <row r="131" spans="3:9" s="98" customFormat="1" x14ac:dyDescent="0.25">
      <c r="C131" s="103"/>
      <c r="E131" s="103"/>
      <c r="F131" s="103"/>
      <c r="G131" s="103"/>
      <c r="H131" s="103"/>
      <c r="I131" s="108"/>
    </row>
    <row r="132" spans="3:9" s="98" customFormat="1" x14ac:dyDescent="0.25">
      <c r="C132" s="103"/>
      <c r="E132" s="103"/>
      <c r="F132" s="103"/>
      <c r="G132" s="103"/>
      <c r="H132" s="103"/>
      <c r="I132" s="108"/>
    </row>
    <row r="133" spans="3:9" s="98" customFormat="1" x14ac:dyDescent="0.25">
      <c r="C133" s="103"/>
      <c r="E133" s="103"/>
      <c r="F133" s="103"/>
      <c r="G133" s="103"/>
      <c r="H133" s="103"/>
      <c r="I133" s="108"/>
    </row>
    <row r="134" spans="3:9" s="98" customFormat="1" x14ac:dyDescent="0.25">
      <c r="C134" s="103"/>
      <c r="E134" s="103"/>
      <c r="F134" s="103"/>
      <c r="G134" s="103"/>
      <c r="H134" s="103"/>
      <c r="I134" s="108"/>
    </row>
    <row r="135" spans="3:9" s="98" customFormat="1" x14ac:dyDescent="0.25">
      <c r="C135" s="103"/>
      <c r="E135" s="103"/>
      <c r="F135" s="103"/>
      <c r="G135" s="103"/>
      <c r="H135" s="103"/>
      <c r="I135" s="108"/>
    </row>
    <row r="136" spans="3:9" s="98" customFormat="1" x14ac:dyDescent="0.25">
      <c r="C136" s="103"/>
      <c r="E136" s="103"/>
      <c r="F136" s="103"/>
      <c r="G136" s="103"/>
      <c r="H136" s="103"/>
      <c r="I136" s="108"/>
    </row>
    <row r="137" spans="3:9" s="98" customFormat="1" x14ac:dyDescent="0.25">
      <c r="C137" s="103"/>
      <c r="E137" s="103"/>
      <c r="F137" s="103"/>
      <c r="G137" s="103"/>
      <c r="H137" s="103"/>
      <c r="I137" s="108"/>
    </row>
    <row r="138" spans="3:9" s="98" customFormat="1" x14ac:dyDescent="0.25">
      <c r="C138" s="103"/>
      <c r="E138" s="103"/>
      <c r="F138" s="103"/>
      <c r="G138" s="103"/>
      <c r="H138" s="103"/>
      <c r="I138" s="108"/>
    </row>
    <row r="139" spans="3:9" s="98" customFormat="1" x14ac:dyDescent="0.25">
      <c r="C139" s="103"/>
      <c r="E139" s="103"/>
      <c r="F139" s="103"/>
      <c r="G139" s="103"/>
      <c r="H139" s="103"/>
      <c r="I139" s="108"/>
    </row>
    <row r="140" spans="3:9" s="98" customFormat="1" x14ac:dyDescent="0.25">
      <c r="C140" s="103"/>
      <c r="E140" s="103"/>
      <c r="F140" s="103"/>
      <c r="G140" s="103"/>
      <c r="H140" s="103"/>
      <c r="I140" s="108"/>
    </row>
    <row r="141" spans="3:9" s="98" customFormat="1" x14ac:dyDescent="0.25">
      <c r="C141" s="103"/>
      <c r="E141" s="103"/>
      <c r="F141" s="103"/>
      <c r="G141" s="103"/>
      <c r="H141" s="103"/>
      <c r="I141" s="108"/>
    </row>
    <row r="142" spans="3:9" s="98" customFormat="1" x14ac:dyDescent="0.25">
      <c r="C142" s="103"/>
      <c r="E142" s="103"/>
      <c r="F142" s="103"/>
      <c r="G142" s="103"/>
      <c r="H142" s="103"/>
      <c r="I142" s="108"/>
    </row>
    <row r="143" spans="3:9" s="98" customFormat="1" x14ac:dyDescent="0.25">
      <c r="C143" s="103"/>
      <c r="E143" s="103"/>
      <c r="F143" s="103"/>
      <c r="G143" s="103"/>
      <c r="H143" s="103"/>
      <c r="I143" s="108"/>
    </row>
    <row r="144" spans="3:9" x14ac:dyDescent="0.25">
      <c r="D144" s="98"/>
    </row>
    <row r="145" spans="4:4" x14ac:dyDescent="0.25">
      <c r="D145" s="98"/>
    </row>
  </sheetData>
  <mergeCells count="42">
    <mergeCell ref="E15:F15"/>
    <mergeCell ref="A1:I1"/>
    <mergeCell ref="E2:H2"/>
    <mergeCell ref="I2:I4"/>
    <mergeCell ref="E3:F4"/>
    <mergeCell ref="G3:G4"/>
    <mergeCell ref="H3:H4"/>
    <mergeCell ref="B4:D4"/>
    <mergeCell ref="E5:F5"/>
    <mergeCell ref="E6:F6"/>
    <mergeCell ref="E10:F10"/>
    <mergeCell ref="E11:F11"/>
    <mergeCell ref="E12:F12"/>
    <mergeCell ref="E33:F33"/>
    <mergeCell ref="E17:F17"/>
    <mergeCell ref="E21:F21"/>
    <mergeCell ref="E22:F22"/>
    <mergeCell ref="E23:F23"/>
    <mergeCell ref="E24:F24"/>
    <mergeCell ref="E25:F25"/>
    <mergeCell ref="E26:F26"/>
    <mergeCell ref="E27:F27"/>
    <mergeCell ref="E28:F28"/>
    <mergeCell ref="E31:F31"/>
    <mergeCell ref="E32:F32"/>
    <mergeCell ref="E58:F58"/>
    <mergeCell ref="E35:F35"/>
    <mergeCell ref="E36:F36"/>
    <mergeCell ref="E37:F37"/>
    <mergeCell ref="E40:F40"/>
    <mergeCell ref="E41:F41"/>
    <mergeCell ref="E52:F52"/>
    <mergeCell ref="E53:F53"/>
    <mergeCell ref="E54:F54"/>
    <mergeCell ref="E55:F55"/>
    <mergeCell ref="E56:F56"/>
    <mergeCell ref="E57:F57"/>
    <mergeCell ref="E59:F59"/>
    <mergeCell ref="E60:F60"/>
    <mergeCell ref="E61:F61"/>
    <mergeCell ref="E62:F62"/>
    <mergeCell ref="E63:F63"/>
  </mergeCells>
  <pageMargins left="0.7" right="0.7" top="0.75" bottom="0.75" header="0.3" footer="0.3"/>
  <pageSetup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Combined Efforts</vt:lpstr>
      <vt:lpstr>Feature Listing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Jigar Modi</dc:creator>
  <cp:lastModifiedBy>Jigar Modi</cp:lastModifiedBy>
  <dcterms:created xsi:type="dcterms:W3CDTF">2015-06-05T18:17:20Z</dcterms:created>
  <dcterms:modified xsi:type="dcterms:W3CDTF">2025-10-27T12:51:35Z</dcterms:modified>
</cp:coreProperties>
</file>