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JigarModi_SharedFolder\Hanwha\"/>
    </mc:Choice>
  </mc:AlternateContent>
  <xr:revisionPtr revIDLastSave="0" documentId="13_ncr:1_{F4856208-A2DD-43B4-8131-6D98DF4CFE8B}" xr6:coauthVersionLast="47" xr6:coauthVersionMax="47" xr10:uidLastSave="{00000000-0000-0000-0000-000000000000}"/>
  <bookViews>
    <workbookView xWindow="-120" yWindow="-120" windowWidth="29040" windowHeight="15720" tabRatio="662" activeTab="1" xr2:uid="{00000000-000D-0000-FFFF-FFFF00000000}"/>
  </bookViews>
  <sheets>
    <sheet name="Combined Efforts" sheetId="8" r:id="rId1"/>
    <sheet name="Feature List - Web App" sheetId="6" r:id="rId2"/>
    <sheet name="Out Of Scope" sheetId="10" r:id="rId3"/>
    <sheet name="Assumptions &amp; Queries" sheetId="1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9" i="6" l="1"/>
  <c r="G29" i="6"/>
  <c r="F22" i="6"/>
  <c r="F21" i="6"/>
  <c r="F20" i="6"/>
  <c r="F19" i="6"/>
  <c r="F18" i="6"/>
  <c r="F17" i="6"/>
  <c r="F16" i="6"/>
  <c r="F15" i="6"/>
  <c r="F14" i="6"/>
  <c r="F13" i="6"/>
  <c r="F12" i="6"/>
  <c r="F11" i="6"/>
  <c r="F10" i="6"/>
  <c r="F9" i="6"/>
  <c r="F8" i="6"/>
  <c r="F7" i="6"/>
  <c r="F6" i="6"/>
  <c r="F5" i="6"/>
  <c r="F29" i="6" l="1"/>
  <c r="D30" i="6"/>
  <c r="G2" i="8"/>
  <c r="F2" i="8"/>
  <c r="G5" i="8" l="1"/>
  <c r="F5" i="8"/>
  <c r="E2" i="8"/>
  <c r="E5" i="8" l="1"/>
  <c r="E12" i="8" l="1"/>
  <c r="E9" i="8"/>
  <c r="E13" i="8"/>
  <c r="E11" i="8"/>
  <c r="E10" i="8"/>
  <c r="E8" i="8"/>
  <c r="E7" i="8"/>
  <c r="E14" i="8" l="1"/>
  <c r="E16" i="8" s="1"/>
  <c r="E19" i="8" l="1"/>
  <c r="E18" i="8"/>
</calcChain>
</file>

<file path=xl/sharedStrings.xml><?xml version="1.0" encoding="utf-8"?>
<sst xmlns="http://schemas.openxmlformats.org/spreadsheetml/2006/main" count="55" uniqueCount="49">
  <si>
    <t>Sr No</t>
  </si>
  <si>
    <t>Features/Use Case/WBS</t>
  </si>
  <si>
    <t>% Attribution</t>
  </si>
  <si>
    <t>Combined</t>
  </si>
  <si>
    <t>Front-end</t>
  </si>
  <si>
    <t>Back-end</t>
  </si>
  <si>
    <t>Other Phases</t>
  </si>
  <si>
    <t>Project management</t>
  </si>
  <si>
    <t>Business Analysis</t>
  </si>
  <si>
    <t>UI Design &amp; Development Support</t>
  </si>
  <si>
    <t>Documentation</t>
  </si>
  <si>
    <t>QA Testing</t>
  </si>
  <si>
    <t>Total Estimation (Hours)</t>
  </si>
  <si>
    <t>30 day warranty post Go Live</t>
  </si>
  <si>
    <t>Grand Total Estimation (Hours)</t>
  </si>
  <si>
    <t>USD Cost / Hour</t>
  </si>
  <si>
    <t>Total Cost (USD)</t>
  </si>
  <si>
    <t>Sr No.</t>
  </si>
  <si>
    <t>Web Application</t>
  </si>
  <si>
    <t>Combined Efforts</t>
  </si>
  <si>
    <t>Sr.No</t>
  </si>
  <si>
    <t>Application Name</t>
  </si>
  <si>
    <t>Development + Unit Testing Efforts</t>
  </si>
  <si>
    <t>Web App</t>
  </si>
  <si>
    <t>Out Of Scope</t>
  </si>
  <si>
    <t>Implementation &amp; Support</t>
  </si>
  <si>
    <t>Technical Design</t>
  </si>
  <si>
    <t>Sub - Features/Comments/Implementation</t>
  </si>
  <si>
    <t>ANPR Module</t>
  </si>
  <si>
    <t>Change in License App for ANPR Module.</t>
  </si>
  <si>
    <t>Add ANPR option in manage device when add edit device. Here user will also define Entry / Exit setting for specific camera.</t>
  </si>
  <si>
    <t>Implementation of capturing ANPR event from camera.</t>
  </si>
  <si>
    <t>Validating the vehicle event data and open the gate barrier integration alarm by CGI command. Same process for exit vehicle.</t>
  </si>
  <si>
    <t>For restricted vehicle gate will not open and alarm command to be given.</t>
  </si>
  <si>
    <t>Store large image and cropped image of ANPR detection at configured location.</t>
  </si>
  <si>
    <t>LPR Search Result Screen 
LPR search parameters
 =&gt; Select the floor/zone/devices
=&gt; Datetime range
=&gt; License Plate: Plate series,Vehicle number,Country,Region,Colour,Category,Length
=&gt; Vehicle: Type,Colour,Manufacturer, Model
=&gt; Owner Information: Owner,Building,Unit</t>
  </si>
  <si>
    <t>LPR search result in the grid with standard pagination and export to CSV option</t>
  </si>
  <si>
    <t>In ANPR Configuration, give 
=&gt; Plate Image Storage Location (Configure the path where all the plate images will be store)
=&gt; Data and image retention period:
    Configure in the month. After configured retention older image and data will be deleted from the system.
    Background job will execute daily and delete old data as per retention configuration. (considering delete not archive)</t>
  </si>
  <si>
    <t>New screen to Register Owners
- Name
- Building
- Unit
 - email
- Allowed vehicle (number of allowed vehicle in parking)
- Allowed from time (if it is configured owner cannot enter before this time)
- Allowed to time (if it is configured owner cannot enter after this time)
- Allowed gates (if it is configured owner can enter on selected gates only)
- System Notification for overstay (if vehicle is not exit before Allowed to time)
 -System notification for 24H stay</t>
  </si>
  <si>
    <t>New Screen to Register Vehicles
- Country
- Region
- Series
- Vehicle number
- Registration date
- Expired date
- Vehicle Owner
- RegistrationType[Registered, Visitor, Restricted]
- Vehicle Owner (select owner in case if Registered)
- Temporary owner name (for Temporary Visitor)
- email
- Temporary Allowed from time (for Temporary Visitor)
- Temporary Allowed to time (for Temporary Visitor)
- Temporary Allowed gates (for Temporary Visitor)
- System Notification alarm for overstay (if vehicle is not exit before Temporary Allowed to time)
- System Notification for 24H stay</t>
  </si>
  <si>
    <t>Creation of background job for Overstay notification</t>
  </si>
  <si>
    <t>Creation of background job for 24 Hours Overstay notification</t>
  </si>
  <si>
    <t>Screen to view audit data, details like who register/update the vehicle/Owner data</t>
  </si>
  <si>
    <t>CSV upload feature for vehicle registration.</t>
  </si>
  <si>
    <t>Allow manually open gate barrier from the camera grid.</t>
  </si>
  <si>
    <t>Set device as maintenance mode On/Off from the grid. Keep open the gate barrier in case of maintenance mode is ON.</t>
  </si>
  <si>
    <t>Floor/Zone utilization based on In/Out Vehicles.</t>
  </si>
  <si>
    <t>Assumptions &amp; Queries</t>
  </si>
  <si>
    <t>Cost Estimation and Feature Listing for Hanwha Dashboard Web Application - Phase 4 - ANPR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</si>
</sst>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rgb="FF000000"/>
      <name val="Calibri"/>
      <charset val="134"/>
    </font>
    <font>
      <sz val="11"/>
      <color rgb="FF000000"/>
      <name val="Calibri"/>
      <family val="2"/>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b/>
      <sz val="14"/>
      <name val="Calibri"/>
      <family val="2"/>
      <scheme val="minor"/>
    </font>
    <font>
      <b/>
      <sz val="11"/>
      <color rgb="FFFFFFFF"/>
      <name val="Calibri"/>
      <family val="2"/>
      <scheme val="minor"/>
    </font>
    <font>
      <sz val="11"/>
      <color rgb="FFFFFFFF"/>
      <name val="Calibri"/>
      <family val="2"/>
      <scheme val="minor"/>
    </font>
    <font>
      <b/>
      <sz val="20"/>
      <name val="Calibri"/>
      <family val="2"/>
      <scheme val="minor"/>
    </font>
    <font>
      <b/>
      <sz val="11"/>
      <color theme="0"/>
      <name val="Calibri"/>
      <family val="2"/>
      <scheme val="minor"/>
    </font>
    <font>
      <b/>
      <sz val="11"/>
      <color theme="0"/>
      <name val="Calibri"/>
      <family val="2"/>
    </font>
  </fonts>
  <fills count="14">
    <fill>
      <patternFill patternType="none"/>
    </fill>
    <fill>
      <patternFill patternType="gray125"/>
    </fill>
    <fill>
      <patternFill patternType="solid">
        <fgColor rgb="FF000000"/>
        <bgColor rgb="FF0D0D0D"/>
      </patternFill>
    </fill>
    <fill>
      <patternFill patternType="solid">
        <fgColor rgb="FF9DC3E6"/>
        <bgColor rgb="FFC0C0C0"/>
      </patternFill>
    </fill>
    <fill>
      <patternFill patternType="solid">
        <fgColor rgb="FF00FFFF"/>
        <bgColor rgb="FF00FFFF"/>
      </patternFill>
    </fill>
    <fill>
      <patternFill patternType="solid">
        <fgColor rgb="FF5B9BD5"/>
        <bgColor rgb="FF4F81BD"/>
      </patternFill>
    </fill>
    <fill>
      <patternFill patternType="solid">
        <fgColor rgb="FFDEEBF7"/>
        <bgColor rgb="FFCCFFFF"/>
      </patternFill>
    </fill>
    <fill>
      <patternFill patternType="solid">
        <fgColor rgb="FFFFFFFF"/>
        <bgColor rgb="FFFFFFCC"/>
      </patternFill>
    </fill>
    <fill>
      <patternFill patternType="solid">
        <fgColor rgb="FFC5E0B4"/>
        <bgColor rgb="FFC0C0C0"/>
      </patternFill>
    </fill>
    <fill>
      <patternFill patternType="solid">
        <fgColor rgb="FFFFFF00"/>
        <bgColor rgb="FFFFFF00"/>
      </patternFill>
    </fill>
    <fill>
      <patternFill patternType="solid">
        <fgColor rgb="FF00FF00"/>
        <bgColor rgb="FF33CCCC"/>
      </patternFill>
    </fill>
    <fill>
      <patternFill patternType="solid">
        <fgColor rgb="FFC0C0C0"/>
        <bgColor rgb="FF9DC3E6"/>
      </patternFill>
    </fill>
    <fill>
      <patternFill patternType="solid">
        <fgColor rgb="FF808080"/>
        <bgColor rgb="FF969696"/>
      </patternFill>
    </fill>
    <fill>
      <patternFill patternType="solid">
        <fgColor rgb="FFC00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1" fillId="0" borderId="0"/>
  </cellStyleXfs>
  <cellXfs count="72">
    <xf numFmtId="0" fontId="0" fillId="0" borderId="0" xfId="0">
      <alignment vertical="center"/>
    </xf>
    <xf numFmtId="0" fontId="2" fillId="0" borderId="1" xfId="1" applyFont="1" applyBorder="1" applyAlignment="1">
      <alignment vertical="top"/>
    </xf>
    <xf numFmtId="0" fontId="2" fillId="0" borderId="1" xfId="1" applyFont="1" applyBorder="1" applyAlignment="1">
      <alignment horizontal="center" vertical="top"/>
    </xf>
    <xf numFmtId="0" fontId="3" fillId="0" borderId="1" xfId="1" applyFont="1" applyBorder="1" applyAlignment="1">
      <alignment horizontal="left" vertical="top"/>
    </xf>
    <xf numFmtId="0" fontId="2" fillId="2" borderId="1" xfId="1" applyFont="1" applyFill="1" applyBorder="1" applyAlignment="1">
      <alignment vertical="top"/>
    </xf>
    <xf numFmtId="0" fontId="2" fillId="0" borderId="1" xfId="0" applyFont="1" applyBorder="1" applyAlignment="1">
      <alignment vertical="top"/>
    </xf>
    <xf numFmtId="0" fontId="3" fillId="2" borderId="1" xfId="1" applyFont="1" applyFill="1" applyBorder="1" applyAlignment="1">
      <alignment vertical="top"/>
    </xf>
    <xf numFmtId="0" fontId="4" fillId="0" borderId="1" xfId="0" applyFont="1" applyBorder="1" applyAlignment="1">
      <alignment vertical="top"/>
    </xf>
    <xf numFmtId="0" fontId="5" fillId="0" borderId="1" xfId="1" applyFont="1" applyBorder="1" applyAlignment="1">
      <alignment vertical="top"/>
    </xf>
    <xf numFmtId="0" fontId="3" fillId="4" borderId="1" xfId="1" applyFont="1" applyFill="1" applyBorder="1" applyAlignment="1">
      <alignment vertical="top"/>
    </xf>
    <xf numFmtId="0" fontId="6" fillId="5" borderId="1" xfId="1" applyFont="1" applyFill="1" applyBorder="1" applyAlignment="1">
      <alignment horizontal="center" vertical="top"/>
    </xf>
    <xf numFmtId="0" fontId="2" fillId="4" borderId="1" xfId="1" applyFont="1" applyFill="1" applyBorder="1" applyAlignment="1">
      <alignment vertical="top"/>
    </xf>
    <xf numFmtId="0" fontId="7" fillId="0" borderId="1" xfId="1" applyFont="1" applyBorder="1" applyAlignment="1">
      <alignment vertical="top"/>
    </xf>
    <xf numFmtId="0" fontId="2" fillId="8" borderId="1" xfId="1" applyFont="1" applyFill="1" applyBorder="1" applyAlignment="1">
      <alignment horizontal="center" vertical="top"/>
    </xf>
    <xf numFmtId="1" fontId="2" fillId="0" borderId="1" xfId="1" applyNumberFormat="1" applyFont="1" applyBorder="1" applyAlignment="1">
      <alignment vertical="top"/>
    </xf>
    <xf numFmtId="0" fontId="3" fillId="0" borderId="1" xfId="1" applyFont="1" applyBorder="1" applyAlignment="1">
      <alignment vertical="top"/>
    </xf>
    <xf numFmtId="0" fontId="2" fillId="7" borderId="1" xfId="1" applyFont="1" applyFill="1" applyBorder="1" applyAlignment="1">
      <alignment vertical="top"/>
    </xf>
    <xf numFmtId="0" fontId="2" fillId="7" borderId="1" xfId="0" applyFont="1" applyFill="1" applyBorder="1" applyAlignment="1">
      <alignment vertical="top"/>
    </xf>
    <xf numFmtId="0" fontId="3" fillId="10" borderId="1" xfId="1" applyFont="1" applyFill="1" applyBorder="1" applyAlignment="1">
      <alignment vertical="top"/>
    </xf>
    <xf numFmtId="2" fontId="3" fillId="0" borderId="1" xfId="1" applyNumberFormat="1" applyFont="1" applyBorder="1" applyAlignment="1">
      <alignment vertical="top"/>
    </xf>
    <xf numFmtId="0" fontId="3" fillId="7" borderId="1" xfId="1" applyFont="1" applyFill="1" applyBorder="1" applyAlignment="1">
      <alignment vertical="top"/>
    </xf>
    <xf numFmtId="2" fontId="2" fillId="0" borderId="1" xfId="1" applyNumberFormat="1" applyFont="1" applyBorder="1" applyAlignment="1">
      <alignment vertical="top"/>
    </xf>
    <xf numFmtId="0" fontId="2" fillId="11" borderId="1" xfId="1" applyFont="1" applyFill="1" applyBorder="1" applyAlignment="1">
      <alignment vertical="top"/>
    </xf>
    <xf numFmtId="0" fontId="3" fillId="11" borderId="1" xfId="1" applyFont="1" applyFill="1" applyBorder="1" applyAlignment="1">
      <alignment vertical="top"/>
    </xf>
    <xf numFmtId="0" fontId="3" fillId="11" borderId="1" xfId="1" applyFont="1" applyFill="1" applyBorder="1" applyAlignment="1">
      <alignment horizontal="center" vertical="top"/>
    </xf>
    <xf numFmtId="0" fontId="2" fillId="6" borderId="1" xfId="1" applyFont="1" applyFill="1" applyBorder="1" applyAlignment="1">
      <alignment vertical="top"/>
    </xf>
    <xf numFmtId="1" fontId="2" fillId="6" borderId="1" xfId="1" applyNumberFormat="1" applyFont="1" applyFill="1" applyBorder="1" applyAlignment="1">
      <alignment horizontal="center" vertical="top"/>
    </xf>
    <xf numFmtId="2" fontId="2" fillId="6" borderId="1" xfId="1" applyNumberFormat="1" applyFont="1" applyFill="1" applyBorder="1" applyAlignment="1">
      <alignment vertical="top"/>
    </xf>
    <xf numFmtId="1" fontId="2" fillId="9" borderId="1" xfId="1" applyNumberFormat="1" applyFont="1" applyFill="1" applyBorder="1" applyAlignment="1">
      <alignment horizontal="center" vertical="top"/>
    </xf>
    <xf numFmtId="0" fontId="2" fillId="6" borderId="1" xfId="1" applyFont="1" applyFill="1" applyBorder="1" applyAlignment="1">
      <alignment horizontal="center" vertical="top"/>
    </xf>
    <xf numFmtId="0" fontId="3" fillId="10" borderId="1" xfId="1" applyFont="1" applyFill="1" applyBorder="1" applyAlignment="1">
      <alignment horizontal="right" vertical="top"/>
    </xf>
    <xf numFmtId="0" fontId="3" fillId="10" borderId="1" xfId="1" applyFont="1" applyFill="1" applyBorder="1" applyAlignment="1">
      <alignment horizontal="center" vertical="top"/>
    </xf>
    <xf numFmtId="2" fontId="3" fillId="10" borderId="1" xfId="1" applyNumberFormat="1" applyFont="1" applyFill="1" applyBorder="1" applyAlignment="1">
      <alignment vertical="top"/>
    </xf>
    <xf numFmtId="0" fontId="8" fillId="12" borderId="1" xfId="1" applyFont="1" applyFill="1" applyBorder="1" applyAlignment="1">
      <alignment vertical="top"/>
    </xf>
    <xf numFmtId="0" fontId="7" fillId="12" borderId="1" xfId="1" applyFont="1" applyFill="1" applyBorder="1" applyAlignment="1">
      <alignment horizontal="center" vertical="top" wrapText="1"/>
    </xf>
    <xf numFmtId="2" fontId="8" fillId="12" borderId="1" xfId="1" applyNumberFormat="1" applyFont="1" applyFill="1" applyBorder="1" applyAlignment="1">
      <alignment horizontal="right" vertical="top" wrapText="1"/>
    </xf>
    <xf numFmtId="2" fontId="8" fillId="0" borderId="1" xfId="1" applyNumberFormat="1" applyFont="1" applyBorder="1" applyAlignment="1">
      <alignment horizontal="right" vertical="top" wrapText="1"/>
    </xf>
    <xf numFmtId="0" fontId="3" fillId="0" borderId="1" xfId="1" applyFont="1" applyBorder="1" applyAlignment="1">
      <alignment horizontal="right" vertical="top"/>
    </xf>
    <xf numFmtId="2" fontId="2" fillId="7" borderId="1" xfId="1" applyNumberFormat="1" applyFont="1" applyFill="1" applyBorder="1" applyAlignment="1">
      <alignment vertical="top"/>
    </xf>
    <xf numFmtId="0" fontId="10" fillId="13" borderId="1" xfId="0" applyFont="1" applyFill="1" applyBorder="1" applyAlignment="1">
      <alignment horizontal="center" vertical="top"/>
    </xf>
    <xf numFmtId="0" fontId="2" fillId="0" borderId="0" xfId="0" applyFont="1" applyAlignment="1">
      <alignment vertical="top"/>
    </xf>
    <xf numFmtId="0" fontId="2" fillId="0" borderId="1" xfId="0" applyFont="1" applyBorder="1" applyAlignment="1">
      <alignment vertical="top" wrapText="1"/>
    </xf>
    <xf numFmtId="0" fontId="10" fillId="13" borderId="1" xfId="0" applyFont="1" applyFill="1" applyBorder="1" applyAlignment="1">
      <alignment horizontal="center" vertical="top" wrapText="1"/>
    </xf>
    <xf numFmtId="0" fontId="0" fillId="0" borderId="1" xfId="0" applyBorder="1">
      <alignment vertical="center"/>
    </xf>
    <xf numFmtId="0" fontId="11" fillId="13" borderId="1" xfId="0" applyFont="1" applyFill="1" applyBorder="1">
      <alignment vertical="center"/>
    </xf>
    <xf numFmtId="2" fontId="0" fillId="0" borderId="1" xfId="0" applyNumberFormat="1" applyBorder="1">
      <alignment vertical="center"/>
    </xf>
    <xf numFmtId="0" fontId="0" fillId="0" borderId="1" xfId="0" applyBorder="1" applyAlignment="1">
      <alignment vertical="top"/>
    </xf>
    <xf numFmtId="0" fontId="0" fillId="0" borderId="1" xfId="0" applyBorder="1" applyAlignment="1">
      <alignment vertical="top" wrapText="1"/>
    </xf>
    <xf numFmtId="0" fontId="0" fillId="0" borderId="3" xfId="0" applyBorder="1" applyAlignment="1">
      <alignment horizontal="left" vertical="top"/>
    </xf>
    <xf numFmtId="0" fontId="4" fillId="7" borderId="3" xfId="1" applyFont="1" applyFill="1" applyBorder="1" applyAlignment="1">
      <alignment horizontal="center" vertical="top"/>
    </xf>
    <xf numFmtId="0" fontId="2" fillId="0" borderId="1" xfId="1" applyFont="1" applyBorder="1" applyAlignment="1">
      <alignment vertical="top" wrapText="1"/>
    </xf>
    <xf numFmtId="0" fontId="2" fillId="0" borderId="1" xfId="1" applyFont="1" applyBorder="1" applyAlignment="1">
      <alignment horizontal="left" vertical="top" wrapText="1"/>
    </xf>
    <xf numFmtId="1" fontId="3" fillId="10" borderId="1" xfId="1" applyNumberFormat="1" applyFont="1" applyFill="1" applyBorder="1" applyAlignment="1">
      <alignment horizontal="right" vertical="top"/>
    </xf>
    <xf numFmtId="0" fontId="3" fillId="10" borderId="1" xfId="1" applyFont="1" applyFill="1" applyBorder="1" applyAlignment="1">
      <alignment horizontal="left" vertical="top"/>
    </xf>
    <xf numFmtId="0" fontId="3" fillId="10" borderId="5" xfId="1" applyFont="1" applyFill="1" applyBorder="1" applyAlignment="1">
      <alignment horizontal="center" vertical="top"/>
    </xf>
    <xf numFmtId="0" fontId="3" fillId="10" borderId="6" xfId="1" applyFont="1" applyFill="1" applyBorder="1" applyAlignment="1">
      <alignment horizontal="center" vertical="top"/>
    </xf>
    <xf numFmtId="0" fontId="3" fillId="10" borderId="7" xfId="1" applyFont="1" applyFill="1" applyBorder="1" applyAlignment="1">
      <alignment horizontal="center" vertical="top"/>
    </xf>
    <xf numFmtId="0" fontId="11" fillId="13" borderId="1" xfId="0" applyFont="1" applyFill="1" applyBorder="1" applyAlignment="1">
      <alignment horizontal="center" vertical="center"/>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 fillId="0" borderId="2" xfId="0" applyFont="1" applyBorder="1" applyAlignment="1">
      <alignment horizontal="left" vertical="top"/>
    </xf>
    <xf numFmtId="0" fontId="1" fillId="0" borderId="4" xfId="0" applyFont="1" applyBorder="1" applyAlignment="1">
      <alignment horizontal="left" vertical="top"/>
    </xf>
    <xf numFmtId="0" fontId="1" fillId="0" borderId="3" xfId="0" applyFont="1" applyBorder="1" applyAlignment="1">
      <alignment horizontal="left" vertical="top"/>
    </xf>
    <xf numFmtId="0" fontId="9" fillId="0" borderId="5" xfId="1" applyFont="1" applyBorder="1" applyAlignment="1">
      <alignment horizontal="center" vertical="top"/>
    </xf>
    <xf numFmtId="0" fontId="9" fillId="0" borderId="6" xfId="1" applyFont="1" applyBorder="1" applyAlignment="1">
      <alignment horizontal="center" vertical="top"/>
    </xf>
    <xf numFmtId="0" fontId="6" fillId="3" borderId="1" xfId="1" applyFont="1" applyFill="1" applyBorder="1" applyAlignment="1">
      <alignment horizontal="center" vertical="top" wrapText="1"/>
    </xf>
    <xf numFmtId="0" fontId="6" fillId="3" borderId="1" xfId="1" applyFont="1" applyFill="1" applyBorder="1" applyAlignment="1">
      <alignment horizontal="center" vertical="top"/>
    </xf>
    <xf numFmtId="2" fontId="6" fillId="3" borderId="1" xfId="1" applyNumberFormat="1" applyFont="1" applyFill="1" applyBorder="1" applyAlignment="1">
      <alignment horizontal="center" vertical="top"/>
    </xf>
    <xf numFmtId="0" fontId="6" fillId="6" borderId="1" xfId="1" applyFont="1" applyFill="1" applyBorder="1" applyAlignment="1">
      <alignment horizontal="center" vertical="top"/>
    </xf>
  </cellXfs>
  <cellStyles count="2">
    <cellStyle name="Excel Built-in Normal"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DEEBF7"/>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DC3E6"/>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D349E-C1FC-4592-A374-89A1493FA480}">
  <dimension ref="A1:G19"/>
  <sheetViews>
    <sheetView workbookViewId="0">
      <selection activeCell="D27" sqref="D27"/>
    </sheetView>
  </sheetViews>
  <sheetFormatPr defaultRowHeight="15"/>
  <cols>
    <col min="1" max="1" width="5.85546875" bestFit="1" customWidth="1"/>
    <col min="2" max="2" width="32.85546875" bestFit="1" customWidth="1"/>
    <col min="4" max="4" width="58.5703125" customWidth="1"/>
    <col min="5" max="5" width="16.5703125" bestFit="1" customWidth="1"/>
    <col min="6" max="6" width="15.5703125" bestFit="1" customWidth="1"/>
    <col min="7" max="7" width="9.140625" bestFit="1" customWidth="1"/>
    <col min="9" max="9" width="8.5703125" bestFit="1" customWidth="1"/>
  </cols>
  <sheetData>
    <row r="1" spans="1:7">
      <c r="A1" s="44" t="s">
        <v>20</v>
      </c>
      <c r="B1" s="57" t="s">
        <v>21</v>
      </c>
      <c r="C1" s="57"/>
      <c r="D1" s="57"/>
      <c r="E1" s="44" t="s">
        <v>19</v>
      </c>
      <c r="F1" s="44" t="s">
        <v>4</v>
      </c>
      <c r="G1" s="44" t="s">
        <v>5</v>
      </c>
    </row>
    <row r="2" spans="1:7">
      <c r="A2" s="43">
        <v>1</v>
      </c>
      <c r="B2" s="58" t="s">
        <v>23</v>
      </c>
      <c r="C2" s="59"/>
      <c r="D2" s="59"/>
      <c r="E2" s="45">
        <f>SUM(F2:G2)</f>
        <v>294</v>
      </c>
      <c r="F2" s="45">
        <f>'Feature List - Web App'!G29</f>
        <v>98</v>
      </c>
      <c r="G2" s="45">
        <f>'Feature List - Web App'!H29</f>
        <v>196</v>
      </c>
    </row>
    <row r="3" spans="1:7">
      <c r="A3" s="43"/>
      <c r="B3" s="58"/>
      <c r="C3" s="58"/>
      <c r="D3" s="58"/>
      <c r="E3" s="45"/>
      <c r="F3" s="45"/>
      <c r="G3" s="45"/>
    </row>
    <row r="4" spans="1:7">
      <c r="A4" s="43"/>
      <c r="B4" s="60"/>
      <c r="C4" s="61"/>
      <c r="D4" s="62"/>
      <c r="E4" s="43"/>
      <c r="F4" s="43"/>
      <c r="G4" s="43"/>
    </row>
    <row r="5" spans="1:7">
      <c r="A5" s="54" t="s">
        <v>19</v>
      </c>
      <c r="B5" s="55"/>
      <c r="C5" s="55"/>
      <c r="D5" s="56"/>
      <c r="E5" s="32">
        <f>SUM(F5+G5)</f>
        <v>294</v>
      </c>
      <c r="F5" s="19">
        <f>SUM(F2:F3)</f>
        <v>98</v>
      </c>
      <c r="G5" s="19">
        <f>SUM(G2:G3)</f>
        <v>196</v>
      </c>
    </row>
    <row r="6" spans="1:7">
      <c r="A6" s="22"/>
      <c r="B6" s="23" t="s">
        <v>6</v>
      </c>
      <c r="C6" s="23"/>
      <c r="D6" s="24" t="s">
        <v>2</v>
      </c>
      <c r="E6" s="22"/>
      <c r="F6" s="22"/>
      <c r="G6" s="22"/>
    </row>
    <row r="7" spans="1:7">
      <c r="A7" s="25">
        <v>1</v>
      </c>
      <c r="B7" s="25" t="s">
        <v>7</v>
      </c>
      <c r="C7" s="25"/>
      <c r="D7" s="26">
        <v>5</v>
      </c>
      <c r="E7" s="27">
        <f>E5*D7/100</f>
        <v>14.7</v>
      </c>
      <c r="F7" s="21"/>
      <c r="G7" s="21"/>
    </row>
    <row r="8" spans="1:7">
      <c r="A8" s="25">
        <v>2</v>
      </c>
      <c r="B8" s="25" t="s">
        <v>8</v>
      </c>
      <c r="C8" s="25"/>
      <c r="D8" s="26">
        <v>5</v>
      </c>
      <c r="E8" s="27">
        <f>E5*D8/100</f>
        <v>14.7</v>
      </c>
      <c r="F8" s="21"/>
      <c r="G8" s="21"/>
    </row>
    <row r="9" spans="1:7">
      <c r="A9" s="25">
        <v>3</v>
      </c>
      <c r="B9" s="25" t="s">
        <v>26</v>
      </c>
      <c r="C9" s="25"/>
      <c r="D9" s="26">
        <v>0</v>
      </c>
      <c r="E9" s="27">
        <f>E5*D9/100</f>
        <v>0</v>
      </c>
      <c r="F9" s="21"/>
      <c r="G9" s="21"/>
    </row>
    <row r="10" spans="1:7">
      <c r="A10" s="25">
        <v>4</v>
      </c>
      <c r="B10" s="25" t="s">
        <v>9</v>
      </c>
      <c r="C10" s="25"/>
      <c r="D10" s="26">
        <v>5</v>
      </c>
      <c r="E10" s="27">
        <f>E5*D10/100</f>
        <v>14.7</v>
      </c>
      <c r="F10" s="21"/>
      <c r="G10" s="21"/>
    </row>
    <row r="11" spans="1:7">
      <c r="A11" s="25">
        <v>5</v>
      </c>
      <c r="B11" s="25" t="s">
        <v>10</v>
      </c>
      <c r="C11" s="25"/>
      <c r="D11" s="28">
        <v>5</v>
      </c>
      <c r="E11" s="27">
        <f>E5*D11/100</f>
        <v>14.7</v>
      </c>
      <c r="F11" s="21"/>
      <c r="G11" s="21"/>
    </row>
    <row r="12" spans="1:7">
      <c r="A12" s="25">
        <v>6</v>
      </c>
      <c r="B12" s="25" t="s">
        <v>11</v>
      </c>
      <c r="C12" s="25"/>
      <c r="D12" s="28">
        <v>20</v>
      </c>
      <c r="E12" s="27">
        <f>E5*D12/100</f>
        <v>58.8</v>
      </c>
      <c r="F12" s="21"/>
      <c r="G12" s="21"/>
    </row>
    <row r="13" spans="1:7">
      <c r="A13" s="25">
        <v>7</v>
      </c>
      <c r="B13" s="25" t="s">
        <v>25</v>
      </c>
      <c r="C13" s="25"/>
      <c r="D13" s="29">
        <v>0</v>
      </c>
      <c r="E13" s="27">
        <f>E5*D13/100</f>
        <v>0</v>
      </c>
      <c r="F13" s="21"/>
      <c r="G13" s="21"/>
    </row>
    <row r="14" spans="1:7">
      <c r="A14" s="18"/>
      <c r="B14" s="53" t="s">
        <v>12</v>
      </c>
      <c r="C14" s="53"/>
      <c r="D14" s="31"/>
      <c r="E14" s="32">
        <f>SUM(E5:E13)</f>
        <v>411.59999999999997</v>
      </c>
      <c r="F14" s="19"/>
      <c r="G14" s="19"/>
    </row>
    <row r="15" spans="1:7">
      <c r="A15" s="25">
        <v>8</v>
      </c>
      <c r="B15" s="25" t="s">
        <v>13</v>
      </c>
      <c r="C15" s="25"/>
      <c r="D15" s="26">
        <v>0</v>
      </c>
      <c r="E15" s="27">
        <v>0</v>
      </c>
      <c r="F15" s="21"/>
      <c r="G15" s="21"/>
    </row>
    <row r="16" spans="1:7">
      <c r="A16" s="18"/>
      <c r="B16" s="18" t="s">
        <v>14</v>
      </c>
      <c r="C16" s="18"/>
      <c r="D16" s="31"/>
      <c r="E16" s="32">
        <f>E14+E15</f>
        <v>411.59999999999997</v>
      </c>
      <c r="F16" s="19"/>
      <c r="G16" s="19"/>
    </row>
    <row r="17" spans="1:7">
      <c r="A17" s="33"/>
      <c r="B17" s="33"/>
      <c r="C17" s="33"/>
      <c r="D17" s="34" t="s">
        <v>15</v>
      </c>
      <c r="E17" s="35"/>
      <c r="F17" s="36"/>
      <c r="G17" s="36"/>
    </row>
    <row r="18" spans="1:7">
      <c r="A18" s="18"/>
      <c r="B18" s="18"/>
      <c r="C18" s="18"/>
      <c r="D18" s="31">
        <v>18</v>
      </c>
      <c r="E18" s="52">
        <f>SUM(D18*E16)</f>
        <v>7408.7999999999993</v>
      </c>
      <c r="F18" s="36"/>
      <c r="G18" s="36"/>
    </row>
    <row r="19" spans="1:7">
      <c r="A19" s="18"/>
      <c r="B19" s="18" t="s">
        <v>16</v>
      </c>
      <c r="C19" s="18"/>
      <c r="D19" s="31">
        <v>20</v>
      </c>
      <c r="E19" s="30">
        <f>SUM(D19*E16)</f>
        <v>8232</v>
      </c>
      <c r="F19" s="37"/>
      <c r="G19" s="37"/>
    </row>
  </sheetData>
  <mergeCells count="6">
    <mergeCell ref="B14:C14"/>
    <mergeCell ref="A5:D5"/>
    <mergeCell ref="B1:D1"/>
    <mergeCell ref="B2:D2"/>
    <mergeCell ref="B3:D3"/>
    <mergeCell ref="B4:D4"/>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F6D38-7701-40AB-8C3F-F6DBD3AFDDC7}">
  <dimension ref="A1:IP97"/>
  <sheetViews>
    <sheetView tabSelected="1" zoomScaleNormal="100" workbookViewId="0">
      <selection activeCell="B5" sqref="B5"/>
    </sheetView>
  </sheetViews>
  <sheetFormatPr defaultColWidth="12.42578125" defaultRowHeight="15"/>
  <cols>
    <col min="1" max="1" width="1.5703125" style="4" customWidth="1"/>
    <col min="2" max="2" width="7.42578125" style="1" bestFit="1" customWidth="1"/>
    <col min="3" max="3" width="45.5703125" style="1" bestFit="1" customWidth="1"/>
    <col min="4" max="4" width="136" style="1" bestFit="1" customWidth="1"/>
    <col min="5" max="5" width="16.85546875" style="1" bestFit="1" customWidth="1"/>
    <col min="6" max="6" width="12.5703125" style="21" customWidth="1"/>
    <col min="7" max="7" width="12.5703125" style="21" bestFit="1" customWidth="1"/>
    <col min="8" max="8" width="11.5703125" style="21" bestFit="1" customWidth="1"/>
    <col min="9" max="9" width="1.5703125" style="4" customWidth="1"/>
    <col min="10" max="244" width="9.5703125" style="1" customWidth="1"/>
    <col min="245" max="245" width="17.42578125" style="1" customWidth="1"/>
    <col min="246" max="246" width="100" style="1" customWidth="1"/>
    <col min="247" max="247" width="6.5703125" style="1" customWidth="1"/>
    <col min="248" max="248" width="1.5703125" style="1" customWidth="1"/>
    <col min="249" max="249" width="10.5703125" style="1" customWidth="1"/>
    <col min="250" max="250" width="11.5703125" style="1" customWidth="1"/>
    <col min="251" max="1018" width="12.42578125" style="5"/>
    <col min="1019" max="1024" width="10.42578125" style="5" customWidth="1"/>
    <col min="1025" max="16384" width="12.42578125" style="5"/>
  </cols>
  <sheetData>
    <row r="1" spans="1:250" ht="26.25">
      <c r="A1" s="66" t="s">
        <v>48</v>
      </c>
      <c r="B1" s="67"/>
      <c r="C1" s="67"/>
      <c r="D1" s="67"/>
      <c r="E1" s="67"/>
      <c r="F1" s="67"/>
      <c r="G1" s="67"/>
      <c r="H1" s="67"/>
    </row>
    <row r="2" spans="1:250" ht="36.75" customHeight="1">
      <c r="A2" s="6"/>
      <c r="B2" s="5"/>
      <c r="C2" s="5"/>
      <c r="D2" s="7"/>
      <c r="E2" s="8"/>
      <c r="F2" s="68" t="s">
        <v>22</v>
      </c>
      <c r="G2" s="68"/>
      <c r="H2" s="68"/>
      <c r="IK2" s="9"/>
      <c r="IL2" s="9"/>
      <c r="IM2" s="9"/>
      <c r="IN2" s="9"/>
      <c r="IO2" s="9"/>
      <c r="IP2" s="9"/>
    </row>
    <row r="3" spans="1:250" ht="18.75">
      <c r="B3" s="10" t="s">
        <v>0</v>
      </c>
      <c r="C3" s="10" t="s">
        <v>1</v>
      </c>
      <c r="D3" s="10" t="s">
        <v>27</v>
      </c>
      <c r="E3" s="69" t="s">
        <v>2</v>
      </c>
      <c r="F3" s="70" t="s">
        <v>3</v>
      </c>
      <c r="G3" s="70" t="s">
        <v>4</v>
      </c>
      <c r="H3" s="70" t="s">
        <v>5</v>
      </c>
      <c r="IK3" s="11"/>
      <c r="IL3" s="11"/>
      <c r="IM3" s="11"/>
      <c r="IN3" s="11"/>
      <c r="IO3" s="11"/>
      <c r="IP3" s="11"/>
    </row>
    <row r="4" spans="1:250" ht="18.75">
      <c r="B4" s="71" t="s">
        <v>18</v>
      </c>
      <c r="C4" s="71"/>
      <c r="D4" s="71"/>
      <c r="E4" s="69"/>
      <c r="F4" s="70"/>
      <c r="G4" s="70"/>
      <c r="H4" s="70"/>
      <c r="IK4" s="11"/>
      <c r="IL4" s="11"/>
      <c r="IM4" s="11"/>
      <c r="IN4" s="11"/>
      <c r="IO4" s="11"/>
      <c r="IP4" s="11"/>
    </row>
    <row r="5" spans="1:250">
      <c r="B5" s="49">
        <v>1</v>
      </c>
      <c r="C5" s="63" t="s">
        <v>28</v>
      </c>
      <c r="D5" s="51" t="s">
        <v>29</v>
      </c>
      <c r="E5" s="12"/>
      <c r="F5" s="13">
        <f t="shared" ref="F5:F22" si="0">SUM(G5:H5)</f>
        <v>8</v>
      </c>
      <c r="G5" s="2">
        <v>4</v>
      </c>
      <c r="H5" s="2">
        <v>4</v>
      </c>
      <c r="K5" s="14"/>
    </row>
    <row r="6" spans="1:250">
      <c r="B6" s="49"/>
      <c r="C6" s="64"/>
      <c r="D6" s="51" t="s">
        <v>30</v>
      </c>
      <c r="E6" s="12"/>
      <c r="F6" s="13">
        <f t="shared" si="0"/>
        <v>16</v>
      </c>
      <c r="G6" s="2">
        <v>8</v>
      </c>
      <c r="H6" s="2">
        <v>8</v>
      </c>
      <c r="K6" s="14"/>
    </row>
    <row r="7" spans="1:250">
      <c r="B7" s="49"/>
      <c r="C7" s="64"/>
      <c r="D7" s="51" t="s">
        <v>31</v>
      </c>
      <c r="E7" s="12"/>
      <c r="F7" s="13">
        <f t="shared" si="0"/>
        <v>16</v>
      </c>
      <c r="G7" s="2">
        <v>0</v>
      </c>
      <c r="H7" s="2">
        <v>16</v>
      </c>
      <c r="K7" s="14"/>
    </row>
    <row r="8" spans="1:250">
      <c r="B8" s="49"/>
      <c r="C8" s="64"/>
      <c r="D8" s="51" t="s">
        <v>32</v>
      </c>
      <c r="E8" s="12"/>
      <c r="F8" s="13">
        <f t="shared" si="0"/>
        <v>16</v>
      </c>
      <c r="G8" s="2">
        <v>0</v>
      </c>
      <c r="H8" s="2">
        <v>16</v>
      </c>
      <c r="K8" s="14"/>
    </row>
    <row r="9" spans="1:250">
      <c r="B9" s="49"/>
      <c r="C9" s="64"/>
      <c r="D9" s="51" t="s">
        <v>33</v>
      </c>
      <c r="E9" s="12"/>
      <c r="F9" s="13">
        <f t="shared" si="0"/>
        <v>4</v>
      </c>
      <c r="G9" s="2">
        <v>0</v>
      </c>
      <c r="H9" s="2">
        <v>4</v>
      </c>
      <c r="K9" s="14"/>
    </row>
    <row r="10" spans="1:250">
      <c r="B10" s="49"/>
      <c r="C10" s="64"/>
      <c r="D10" s="51" t="s">
        <v>34</v>
      </c>
      <c r="E10" s="12"/>
      <c r="F10" s="13">
        <f t="shared" si="0"/>
        <v>4</v>
      </c>
      <c r="G10" s="2">
        <v>0</v>
      </c>
      <c r="H10" s="2">
        <v>4</v>
      </c>
      <c r="K10" s="14"/>
    </row>
    <row r="11" spans="1:250" ht="105">
      <c r="B11" s="49"/>
      <c r="C11" s="64"/>
      <c r="D11" s="51" t="s">
        <v>35</v>
      </c>
      <c r="E11" s="12"/>
      <c r="F11" s="13">
        <f t="shared" si="0"/>
        <v>24</v>
      </c>
      <c r="G11" s="2">
        <v>16</v>
      </c>
      <c r="H11" s="2">
        <v>8</v>
      </c>
      <c r="K11" s="14"/>
    </row>
    <row r="12" spans="1:250">
      <c r="B12" s="49"/>
      <c r="C12" s="64"/>
      <c r="D12" s="51" t="s">
        <v>36</v>
      </c>
      <c r="E12" s="12"/>
      <c r="F12" s="13">
        <f t="shared" si="0"/>
        <v>52</v>
      </c>
      <c r="G12" s="2">
        <v>20</v>
      </c>
      <c r="H12" s="2">
        <v>32</v>
      </c>
      <c r="K12" s="14"/>
    </row>
    <row r="13" spans="1:250" ht="75">
      <c r="B13" s="49"/>
      <c r="C13" s="64"/>
      <c r="D13" s="51" t="s">
        <v>37</v>
      </c>
      <c r="E13" s="12"/>
      <c r="F13" s="13">
        <f t="shared" si="0"/>
        <v>16</v>
      </c>
      <c r="G13" s="2">
        <v>4</v>
      </c>
      <c r="H13" s="2">
        <v>12</v>
      </c>
      <c r="K13" s="14"/>
    </row>
    <row r="14" spans="1:250" ht="165">
      <c r="B14" s="49"/>
      <c r="C14" s="64"/>
      <c r="D14" s="51" t="s">
        <v>38</v>
      </c>
      <c r="E14" s="12"/>
      <c r="F14" s="13">
        <f t="shared" si="0"/>
        <v>32</v>
      </c>
      <c r="G14" s="2">
        <v>12</v>
      </c>
      <c r="H14" s="2">
        <v>20</v>
      </c>
      <c r="K14" s="14"/>
    </row>
    <row r="15" spans="1:250" ht="255">
      <c r="B15" s="49"/>
      <c r="C15" s="64"/>
      <c r="D15" s="51" t="s">
        <v>39</v>
      </c>
      <c r="E15" s="12"/>
      <c r="F15" s="13">
        <f t="shared" si="0"/>
        <v>16</v>
      </c>
      <c r="G15" s="2">
        <v>8</v>
      </c>
      <c r="H15" s="2">
        <v>8</v>
      </c>
      <c r="K15" s="14"/>
    </row>
    <row r="16" spans="1:250">
      <c r="B16" s="49"/>
      <c r="C16" s="64"/>
      <c r="D16" s="51" t="s">
        <v>40</v>
      </c>
      <c r="E16" s="12"/>
      <c r="F16" s="13">
        <f t="shared" si="0"/>
        <v>8</v>
      </c>
      <c r="G16" s="2">
        <v>0</v>
      </c>
      <c r="H16" s="2">
        <v>8</v>
      </c>
      <c r="K16" s="14"/>
    </row>
    <row r="17" spans="1:250">
      <c r="B17" s="49"/>
      <c r="C17" s="64"/>
      <c r="D17" s="51" t="s">
        <v>41</v>
      </c>
      <c r="E17" s="12"/>
      <c r="F17" s="13">
        <f t="shared" si="0"/>
        <v>8</v>
      </c>
      <c r="G17" s="2">
        <v>0</v>
      </c>
      <c r="H17" s="2">
        <v>8</v>
      </c>
      <c r="K17" s="14"/>
    </row>
    <row r="18" spans="1:250">
      <c r="B18" s="49"/>
      <c r="C18" s="64"/>
      <c r="D18" s="51" t="s">
        <v>42</v>
      </c>
      <c r="E18" s="12"/>
      <c r="F18" s="13">
        <f t="shared" si="0"/>
        <v>32</v>
      </c>
      <c r="G18" s="2">
        <v>16</v>
      </c>
      <c r="H18" s="2">
        <v>16</v>
      </c>
      <c r="K18" s="14"/>
    </row>
    <row r="19" spans="1:250">
      <c r="B19" s="49"/>
      <c r="C19" s="64"/>
      <c r="D19" s="51" t="s">
        <v>43</v>
      </c>
      <c r="E19" s="12"/>
      <c r="F19" s="13">
        <f t="shared" si="0"/>
        <v>10</v>
      </c>
      <c r="G19" s="2">
        <v>2</v>
      </c>
      <c r="H19" s="2">
        <v>8</v>
      </c>
      <c r="K19" s="14"/>
    </row>
    <row r="20" spans="1:250">
      <c r="B20" s="49"/>
      <c r="C20" s="64"/>
      <c r="D20" s="51" t="s">
        <v>44</v>
      </c>
      <c r="E20" s="12"/>
      <c r="F20" s="13">
        <f t="shared" si="0"/>
        <v>6</v>
      </c>
      <c r="G20" s="2">
        <v>2</v>
      </c>
      <c r="H20" s="2">
        <v>4</v>
      </c>
      <c r="K20" s="14"/>
    </row>
    <row r="21" spans="1:250">
      <c r="C21" s="64"/>
      <c r="D21" s="50" t="s">
        <v>45</v>
      </c>
      <c r="F21" s="13">
        <f t="shared" si="0"/>
        <v>6</v>
      </c>
      <c r="G21" s="2">
        <v>2</v>
      </c>
      <c r="H21" s="2">
        <v>4</v>
      </c>
      <c r="K21" s="14"/>
    </row>
    <row r="22" spans="1:250">
      <c r="C22" s="65"/>
      <c r="D22" s="50" t="s">
        <v>46</v>
      </c>
      <c r="F22" s="13">
        <f t="shared" si="0"/>
        <v>20</v>
      </c>
      <c r="G22" s="2">
        <v>4</v>
      </c>
      <c r="H22" s="2">
        <v>16</v>
      </c>
      <c r="K22" s="14"/>
    </row>
    <row r="23" spans="1:250">
      <c r="D23" s="50"/>
      <c r="F23" s="13"/>
      <c r="G23" s="2"/>
      <c r="H23" s="2"/>
      <c r="K23" s="14"/>
    </row>
    <row r="24" spans="1:250">
      <c r="B24" s="49"/>
      <c r="D24" s="50"/>
      <c r="F24" s="13"/>
      <c r="G24" s="2"/>
      <c r="H24" s="2"/>
    </row>
    <row r="25" spans="1:250">
      <c r="B25" s="49"/>
      <c r="D25" s="50"/>
      <c r="F25" s="13"/>
      <c r="G25" s="2"/>
      <c r="H25" s="2"/>
      <c r="K25" s="14"/>
    </row>
    <row r="26" spans="1:250">
      <c r="B26" s="49"/>
      <c r="D26" s="50"/>
      <c r="F26" s="13"/>
      <c r="G26" s="2"/>
      <c r="H26" s="2"/>
      <c r="K26" s="14"/>
    </row>
    <row r="27" spans="1:250">
      <c r="B27" s="49"/>
      <c r="D27" s="50"/>
      <c r="F27" s="13"/>
      <c r="G27" s="2"/>
      <c r="K27" s="14"/>
    </row>
    <row r="28" spans="1:250">
      <c r="B28" s="49"/>
      <c r="D28" s="50"/>
      <c r="K28" s="14"/>
    </row>
    <row r="29" spans="1:250" s="17" customFormat="1">
      <c r="A29" s="4"/>
      <c r="B29" s="15"/>
      <c r="C29" s="15"/>
      <c r="D29" s="3"/>
      <c r="E29" s="18" t="s">
        <v>19</v>
      </c>
      <c r="F29" s="32">
        <f>SUM(G29+H29)</f>
        <v>294</v>
      </c>
      <c r="G29" s="19">
        <f>SUM(G5:G28)</f>
        <v>98</v>
      </c>
      <c r="H29" s="19">
        <f>SUM(H5:H28)</f>
        <v>196</v>
      </c>
      <c r="I29" s="4"/>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20"/>
      <c r="IL29" s="20"/>
      <c r="IM29" s="20"/>
      <c r="IN29" s="20"/>
      <c r="IO29" s="20"/>
      <c r="IP29" s="20"/>
    </row>
    <row r="30" spans="1:250" s="17" customFormat="1">
      <c r="A30" s="4"/>
      <c r="B30" s="4"/>
      <c r="C30" s="4"/>
      <c r="D30" s="4">
        <f>++++++++-+XEX36</f>
        <v>0</v>
      </c>
      <c r="E30" s="4"/>
      <c r="F30" s="4"/>
      <c r="G30" s="4"/>
      <c r="H30" s="4"/>
      <c r="I30" s="4"/>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20"/>
      <c r="IL30" s="20"/>
      <c r="IM30" s="20"/>
      <c r="IN30" s="20"/>
      <c r="IO30" s="20"/>
      <c r="IP30" s="20"/>
    </row>
    <row r="31" spans="1:250" s="16" customFormat="1">
      <c r="F31" s="38"/>
      <c r="G31" s="38"/>
      <c r="H31" s="38"/>
    </row>
    <row r="32" spans="1:250" s="16" customFormat="1">
      <c r="F32" s="38"/>
      <c r="G32" s="38"/>
      <c r="H32" s="38"/>
    </row>
    <row r="33" spans="6:8" s="16" customFormat="1">
      <c r="F33" s="38"/>
      <c r="G33" s="38"/>
      <c r="H33" s="38"/>
    </row>
    <row r="34" spans="6:8" s="16" customFormat="1">
      <c r="F34" s="38"/>
      <c r="G34" s="38"/>
      <c r="H34" s="38"/>
    </row>
    <row r="35" spans="6:8" s="16" customFormat="1">
      <c r="F35" s="38"/>
      <c r="G35" s="38"/>
      <c r="H35" s="38"/>
    </row>
    <row r="36" spans="6:8" s="16" customFormat="1">
      <c r="F36" s="38"/>
      <c r="G36" s="38"/>
      <c r="H36" s="38"/>
    </row>
    <row r="37" spans="6:8" s="16" customFormat="1">
      <c r="F37" s="38"/>
      <c r="G37" s="38"/>
      <c r="H37" s="38"/>
    </row>
    <row r="38" spans="6:8" s="16" customFormat="1">
      <c r="F38" s="38"/>
      <c r="G38" s="38"/>
      <c r="H38" s="38"/>
    </row>
    <row r="39" spans="6:8" s="16" customFormat="1">
      <c r="F39" s="38"/>
      <c r="G39" s="38"/>
      <c r="H39" s="38"/>
    </row>
    <row r="40" spans="6:8" s="16" customFormat="1">
      <c r="F40" s="38"/>
      <c r="G40" s="38"/>
      <c r="H40" s="38"/>
    </row>
    <row r="41" spans="6:8" s="16" customFormat="1">
      <c r="F41" s="38"/>
      <c r="G41" s="38"/>
      <c r="H41" s="38"/>
    </row>
    <row r="42" spans="6:8" s="16" customFormat="1">
      <c r="F42" s="38"/>
      <c r="G42" s="38"/>
      <c r="H42" s="38"/>
    </row>
    <row r="43" spans="6:8" s="16" customFormat="1">
      <c r="F43" s="38"/>
      <c r="G43" s="38"/>
      <c r="H43" s="38"/>
    </row>
    <row r="44" spans="6:8" s="16" customFormat="1">
      <c r="F44" s="38"/>
      <c r="G44" s="38"/>
      <c r="H44" s="38"/>
    </row>
    <row r="45" spans="6:8" s="16" customFormat="1">
      <c r="F45" s="38"/>
      <c r="G45" s="38"/>
      <c r="H45" s="38"/>
    </row>
    <row r="46" spans="6:8" s="16" customFormat="1">
      <c r="F46" s="38"/>
      <c r="G46" s="38"/>
      <c r="H46" s="38"/>
    </row>
    <row r="47" spans="6:8" s="16" customFormat="1">
      <c r="F47" s="38"/>
      <c r="G47" s="38"/>
      <c r="H47" s="38"/>
    </row>
    <row r="48" spans="6:8" s="16" customFormat="1">
      <c r="F48" s="38"/>
      <c r="G48" s="38"/>
      <c r="H48" s="38"/>
    </row>
    <row r="49" spans="6:8" s="16" customFormat="1">
      <c r="F49" s="38"/>
      <c r="G49" s="38"/>
      <c r="H49" s="38"/>
    </row>
    <row r="50" spans="6:8" s="16" customFormat="1">
      <c r="F50" s="38"/>
      <c r="G50" s="38"/>
      <c r="H50" s="38"/>
    </row>
    <row r="51" spans="6:8" s="16" customFormat="1">
      <c r="F51" s="38"/>
      <c r="G51" s="38"/>
      <c r="H51" s="38"/>
    </row>
    <row r="52" spans="6:8" s="16" customFormat="1">
      <c r="F52" s="38"/>
      <c r="G52" s="38"/>
      <c r="H52" s="38"/>
    </row>
    <row r="53" spans="6:8" s="16" customFormat="1">
      <c r="F53" s="38"/>
      <c r="G53" s="38"/>
      <c r="H53" s="38"/>
    </row>
    <row r="54" spans="6:8" s="16" customFormat="1">
      <c r="F54" s="38"/>
      <c r="G54" s="38"/>
      <c r="H54" s="38"/>
    </row>
    <row r="55" spans="6:8" s="16" customFormat="1">
      <c r="F55" s="38"/>
      <c r="G55" s="38"/>
      <c r="H55" s="38"/>
    </row>
    <row r="56" spans="6:8" s="16" customFormat="1">
      <c r="F56" s="38"/>
      <c r="G56" s="38"/>
      <c r="H56" s="38"/>
    </row>
    <row r="57" spans="6:8" s="16" customFormat="1">
      <c r="F57" s="38"/>
      <c r="G57" s="38"/>
      <c r="H57" s="38"/>
    </row>
    <row r="58" spans="6:8" s="16" customFormat="1">
      <c r="F58" s="38"/>
      <c r="G58" s="38"/>
      <c r="H58" s="38"/>
    </row>
    <row r="59" spans="6:8" s="16" customFormat="1">
      <c r="F59" s="38"/>
      <c r="G59" s="38"/>
      <c r="H59" s="38"/>
    </row>
    <row r="60" spans="6:8" s="16" customFormat="1">
      <c r="F60" s="38"/>
      <c r="G60" s="38"/>
      <c r="H60" s="38"/>
    </row>
    <row r="61" spans="6:8" s="16" customFormat="1">
      <c r="F61" s="38"/>
      <c r="G61" s="38"/>
      <c r="H61" s="38"/>
    </row>
    <row r="62" spans="6:8" s="16" customFormat="1">
      <c r="F62" s="38"/>
      <c r="G62" s="38"/>
      <c r="H62" s="38"/>
    </row>
    <row r="63" spans="6:8" s="16" customFormat="1">
      <c r="F63" s="38"/>
      <c r="G63" s="38"/>
      <c r="H63" s="38"/>
    </row>
    <row r="64" spans="6:8" s="16" customFormat="1">
      <c r="F64" s="38"/>
      <c r="G64" s="38"/>
      <c r="H64" s="38"/>
    </row>
    <row r="65" spans="6:8" s="16" customFormat="1">
      <c r="F65" s="38"/>
      <c r="G65" s="38"/>
      <c r="H65" s="38"/>
    </row>
    <row r="66" spans="6:8" s="16" customFormat="1">
      <c r="F66" s="38"/>
      <c r="G66" s="38"/>
      <c r="H66" s="38"/>
    </row>
    <row r="67" spans="6:8" s="16" customFormat="1">
      <c r="F67" s="38"/>
      <c r="G67" s="38"/>
      <c r="H67" s="38"/>
    </row>
    <row r="68" spans="6:8" s="16" customFormat="1">
      <c r="F68" s="38"/>
      <c r="G68" s="38"/>
      <c r="H68" s="38"/>
    </row>
    <row r="69" spans="6:8" s="16" customFormat="1">
      <c r="F69" s="38"/>
      <c r="G69" s="38"/>
      <c r="H69" s="38"/>
    </row>
    <row r="70" spans="6:8" s="16" customFormat="1">
      <c r="F70" s="38"/>
      <c r="G70" s="38"/>
      <c r="H70" s="38"/>
    </row>
    <row r="71" spans="6:8" s="16" customFormat="1">
      <c r="F71" s="38"/>
      <c r="G71" s="38"/>
      <c r="H71" s="38"/>
    </row>
    <row r="72" spans="6:8" s="16" customFormat="1">
      <c r="F72" s="38"/>
      <c r="G72" s="38"/>
      <c r="H72" s="38"/>
    </row>
    <row r="73" spans="6:8" s="16" customFormat="1">
      <c r="F73" s="38"/>
      <c r="G73" s="38"/>
      <c r="H73" s="38"/>
    </row>
    <row r="74" spans="6:8" s="16" customFormat="1">
      <c r="F74" s="38"/>
      <c r="G74" s="38"/>
      <c r="H74" s="38"/>
    </row>
    <row r="75" spans="6:8" s="16" customFormat="1">
      <c r="F75" s="38"/>
      <c r="G75" s="38"/>
      <c r="H75" s="38"/>
    </row>
    <row r="76" spans="6:8" s="16" customFormat="1">
      <c r="F76" s="38"/>
      <c r="G76" s="38"/>
      <c r="H76" s="38"/>
    </row>
    <row r="77" spans="6:8" s="16" customFormat="1">
      <c r="F77" s="38"/>
      <c r="G77" s="38"/>
      <c r="H77" s="38"/>
    </row>
    <row r="78" spans="6:8" s="16" customFormat="1">
      <c r="F78" s="38"/>
      <c r="G78" s="38"/>
      <c r="H78" s="38"/>
    </row>
    <row r="79" spans="6:8" s="16" customFormat="1">
      <c r="F79" s="38"/>
      <c r="G79" s="38"/>
      <c r="H79" s="38"/>
    </row>
    <row r="80" spans="6:8" s="16" customFormat="1">
      <c r="F80" s="38"/>
      <c r="G80" s="38"/>
      <c r="H80" s="38"/>
    </row>
    <row r="81" spans="6:8" s="16" customFormat="1">
      <c r="F81" s="38"/>
      <c r="G81" s="38"/>
      <c r="H81" s="38"/>
    </row>
    <row r="82" spans="6:8" s="16" customFormat="1">
      <c r="F82" s="38"/>
      <c r="G82" s="38"/>
      <c r="H82" s="38"/>
    </row>
    <row r="83" spans="6:8" s="16" customFormat="1">
      <c r="F83" s="38"/>
      <c r="G83" s="38"/>
      <c r="H83" s="38"/>
    </row>
    <row r="84" spans="6:8" s="16" customFormat="1">
      <c r="F84" s="38"/>
      <c r="G84" s="38"/>
      <c r="H84" s="38"/>
    </row>
    <row r="85" spans="6:8" s="16" customFormat="1">
      <c r="F85" s="38"/>
      <c r="G85" s="38"/>
      <c r="H85" s="38"/>
    </row>
    <row r="86" spans="6:8" s="16" customFormat="1">
      <c r="F86" s="38"/>
      <c r="G86" s="38"/>
      <c r="H86" s="38"/>
    </row>
    <row r="87" spans="6:8" s="16" customFormat="1">
      <c r="F87" s="38"/>
      <c r="G87" s="38"/>
      <c r="H87" s="38"/>
    </row>
    <row r="88" spans="6:8" s="16" customFormat="1">
      <c r="F88" s="38"/>
      <c r="G88" s="38"/>
      <c r="H88" s="38"/>
    </row>
    <row r="89" spans="6:8" s="16" customFormat="1">
      <c r="F89" s="38"/>
      <c r="G89" s="38"/>
      <c r="H89" s="38"/>
    </row>
    <row r="90" spans="6:8" s="16" customFormat="1">
      <c r="F90" s="38"/>
      <c r="G90" s="38"/>
      <c r="H90" s="38"/>
    </row>
    <row r="91" spans="6:8" s="16" customFormat="1">
      <c r="F91" s="38"/>
      <c r="G91" s="38"/>
      <c r="H91" s="38"/>
    </row>
    <row r="92" spans="6:8" s="16" customFormat="1">
      <c r="F92" s="38"/>
      <c r="G92" s="38"/>
      <c r="H92" s="38"/>
    </row>
    <row r="93" spans="6:8" s="16" customFormat="1">
      <c r="F93" s="38"/>
      <c r="G93" s="38"/>
      <c r="H93" s="38"/>
    </row>
    <row r="94" spans="6:8" s="16" customFormat="1">
      <c r="F94" s="38"/>
      <c r="G94" s="38"/>
      <c r="H94" s="38"/>
    </row>
    <row r="95" spans="6:8" s="16" customFormat="1">
      <c r="F95" s="38"/>
      <c r="G95" s="38"/>
      <c r="H95" s="38"/>
    </row>
    <row r="96" spans="6:8" s="16" customFormat="1">
      <c r="F96" s="38"/>
      <c r="G96" s="38"/>
      <c r="H96" s="38"/>
    </row>
    <row r="97" spans="6:8" s="16" customFormat="1">
      <c r="F97" s="38"/>
      <c r="G97" s="38"/>
      <c r="H97" s="38"/>
    </row>
  </sheetData>
  <mergeCells count="8">
    <mergeCell ref="C5:C22"/>
    <mergeCell ref="A1:H1"/>
    <mergeCell ref="F2:H2"/>
    <mergeCell ref="E3:E4"/>
    <mergeCell ref="F3:F4"/>
    <mergeCell ref="G3:G4"/>
    <mergeCell ref="H3:H4"/>
    <mergeCell ref="B4:D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AE75F-D550-42BA-8EBF-9EC23B70CD26}">
  <dimension ref="A1:B4"/>
  <sheetViews>
    <sheetView workbookViewId="0">
      <selection activeCell="E27" sqref="A1:XFD1048576"/>
    </sheetView>
  </sheetViews>
  <sheetFormatPr defaultColWidth="9.5703125" defaultRowHeight="15"/>
  <cols>
    <col min="1" max="1" width="6.42578125" style="5" bestFit="1" customWidth="1"/>
    <col min="2" max="2" width="78.5703125" style="41" bestFit="1" customWidth="1"/>
    <col min="3" max="16384" width="9.5703125" style="40"/>
  </cols>
  <sheetData>
    <row r="1" spans="1:2">
      <c r="A1" s="39" t="s">
        <v>17</v>
      </c>
      <c r="B1" s="42" t="s">
        <v>24</v>
      </c>
    </row>
    <row r="2" spans="1:2">
      <c r="A2" s="46">
        <v>1</v>
      </c>
      <c r="B2" s="47"/>
    </row>
    <row r="3" spans="1:2">
      <c r="A3" s="46">
        <v>2</v>
      </c>
      <c r="B3" s="47"/>
    </row>
    <row r="4" spans="1:2">
      <c r="A4" s="46"/>
      <c r="B4"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29DF-ACAB-4E06-AB65-D32885BB2308}">
  <dimension ref="A1:B4"/>
  <sheetViews>
    <sheetView workbookViewId="0">
      <selection activeCell="G20" sqref="G20"/>
    </sheetView>
  </sheetViews>
  <sheetFormatPr defaultColWidth="9.5703125" defaultRowHeight="15"/>
  <cols>
    <col min="1" max="1" width="6.42578125" style="5" bestFit="1" customWidth="1"/>
    <col min="2" max="2" width="78.5703125" style="41" bestFit="1" customWidth="1"/>
    <col min="3" max="16384" width="9.5703125" style="40"/>
  </cols>
  <sheetData>
    <row r="1" spans="1:2">
      <c r="A1" s="39" t="s">
        <v>17</v>
      </c>
      <c r="B1" s="42" t="s">
        <v>47</v>
      </c>
    </row>
    <row r="2" spans="1:2">
      <c r="A2" s="46">
        <v>1</v>
      </c>
      <c r="B2" s="47"/>
    </row>
    <row r="3" spans="1:2">
      <c r="A3" s="46">
        <v>2</v>
      </c>
      <c r="B3" s="47"/>
    </row>
    <row r="4" spans="1:2">
      <c r="A4" s="46"/>
      <c r="B4" s="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1745</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 Efforts</vt:lpstr>
      <vt:lpstr>Feature List - Web App</vt:lpstr>
      <vt:lpstr>Out Of Scope</vt:lpstr>
      <vt:lpstr>Assumptions &amp; 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aftabhusen.multani</dc:creator>
  <dc:description/>
  <cp:lastModifiedBy>Jigar Modi</cp:lastModifiedBy>
  <cp:revision>54</cp:revision>
  <dcterms:created xsi:type="dcterms:W3CDTF">2019-05-20T03:57:00Z</dcterms:created>
  <dcterms:modified xsi:type="dcterms:W3CDTF">2025-11-14T08:47:10Z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9551F116D40F4C788FB5C4C18F1B93ED</vt:lpwstr>
  </property>
  <property fmtid="{D5CDD505-2E9C-101B-9397-08002B2CF9AE}" pid="3" name="KSOProductBuildVer">
    <vt:lpwstr>1033-11.2.0.11306</vt:lpwstr>
  </property>
  <property fmtid="{D5CDD505-2E9C-101B-9397-08002B2CF9AE}" pid="4" name="KSOReadingLayout">
    <vt:bool>true</vt:bool>
  </property>
</Properties>
</file>