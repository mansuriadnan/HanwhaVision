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JigarModi_SharedFolder\Hanwha\"/>
    </mc:Choice>
  </mc:AlternateContent>
  <xr:revisionPtr revIDLastSave="0" documentId="13_ncr:1_{FE4BB4A3-9270-4D6D-ADF9-20472BF5803E}" xr6:coauthVersionLast="47" xr6:coauthVersionMax="47" xr10:uidLastSave="{00000000-0000-0000-0000-000000000000}"/>
  <bookViews>
    <workbookView xWindow="-120" yWindow="-120" windowWidth="29040" windowHeight="15720" tabRatio="662" activeTab="1" xr2:uid="{00000000-000D-0000-FFFF-FFFF00000000}"/>
  </bookViews>
  <sheets>
    <sheet name="Combined Efforts" sheetId="8" r:id="rId1"/>
    <sheet name="Feature List - Web App" sheetId="6" r:id="rId2"/>
    <sheet name="Out Of Scope" sheetId="10" r:id="rId3"/>
    <sheet name="Assumptions &amp; Queries" sheetId="1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3" i="6" l="1"/>
  <c r="F78" i="6"/>
  <c r="F77" i="6"/>
  <c r="F76" i="6"/>
  <c r="F75" i="6"/>
  <c r="F74" i="6"/>
  <c r="F73" i="6"/>
  <c r="F72" i="6"/>
  <c r="F71" i="6"/>
  <c r="F70" i="6"/>
  <c r="F69" i="6"/>
  <c r="F68" i="6"/>
  <c r="F67" i="6"/>
  <c r="F66" i="6"/>
  <c r="F65" i="6"/>
  <c r="F64" i="6"/>
  <c r="F62" i="6"/>
  <c r="F61" i="6"/>
  <c r="F60" i="6"/>
  <c r="F59" i="6"/>
  <c r="F88" i="6" l="1"/>
  <c r="F87" i="6"/>
  <c r="F86" i="6"/>
  <c r="F85" i="6"/>
  <c r="F97" i="6"/>
  <c r="F95" i="6"/>
  <c r="F38" i="6"/>
  <c r="F37" i="6"/>
  <c r="F36" i="6"/>
  <c r="F35" i="6"/>
  <c r="F11" i="6"/>
  <c r="H104" i="6"/>
  <c r="G104" i="6"/>
  <c r="F93" i="6"/>
  <c r="F91" i="6"/>
  <c r="F84" i="6"/>
  <c r="F82" i="6"/>
  <c r="F80" i="6"/>
  <c r="F57" i="6"/>
  <c r="F56" i="6"/>
  <c r="F55" i="6"/>
  <c r="F54" i="6"/>
  <c r="F53" i="6"/>
  <c r="F52" i="6"/>
  <c r="F51" i="6"/>
  <c r="F50" i="6"/>
  <c r="F49" i="6"/>
  <c r="F48" i="6"/>
  <c r="F47" i="6"/>
  <c r="F46" i="6"/>
  <c r="F45" i="6"/>
  <c r="F44" i="6"/>
  <c r="F43" i="6"/>
  <c r="F42" i="6"/>
  <c r="F41" i="6"/>
  <c r="F40" i="6"/>
  <c r="F34" i="6"/>
  <c r="F32" i="6"/>
  <c r="F30" i="6"/>
  <c r="F28" i="6"/>
  <c r="F26" i="6"/>
  <c r="F24" i="6"/>
  <c r="F23" i="6"/>
  <c r="F22" i="6"/>
  <c r="F20" i="6"/>
  <c r="F19" i="6"/>
  <c r="F18" i="6"/>
  <c r="F17" i="6"/>
  <c r="F16" i="6"/>
  <c r="F15" i="6"/>
  <c r="F14" i="6"/>
  <c r="F13" i="6"/>
  <c r="F9" i="6"/>
  <c r="F7" i="6"/>
  <c r="F5" i="6"/>
  <c r="F104" i="6" l="1"/>
  <c r="D105" i="6"/>
  <c r="G2" i="8"/>
  <c r="F2" i="8"/>
  <c r="G5" i="8" l="1"/>
  <c r="F5" i="8"/>
  <c r="E2" i="8"/>
  <c r="E5" i="8" l="1"/>
  <c r="E12" i="8" l="1"/>
  <c r="E9" i="8"/>
  <c r="E13" i="8"/>
  <c r="E11" i="8"/>
  <c r="E10" i="8"/>
  <c r="E8" i="8"/>
  <c r="E7" i="8"/>
  <c r="E14" i="8" l="1"/>
  <c r="E16" i="8" s="1"/>
  <c r="E19" i="8" l="1"/>
  <c r="E18" i="8"/>
</calcChain>
</file>

<file path=xl/sharedStrings.xml><?xml version="1.0" encoding="utf-8"?>
<sst xmlns="http://schemas.openxmlformats.org/spreadsheetml/2006/main" count="130" uniqueCount="124">
  <si>
    <t>Sr No</t>
  </si>
  <si>
    <t>Features/Use Case/WBS</t>
  </si>
  <si>
    <t>% Attribution</t>
  </si>
  <si>
    <t>Combined</t>
  </si>
  <si>
    <t>Front-end</t>
  </si>
  <si>
    <t>Back-end</t>
  </si>
  <si>
    <t>Other Phases</t>
  </si>
  <si>
    <t>Project management</t>
  </si>
  <si>
    <t>Business Analysis</t>
  </si>
  <si>
    <t>UI Design &amp; Development Support</t>
  </si>
  <si>
    <t>Documentation</t>
  </si>
  <si>
    <t>QA Testing</t>
  </si>
  <si>
    <t>Total Estimation (Hours)</t>
  </si>
  <si>
    <t>30 day warranty post Go Live</t>
  </si>
  <si>
    <t>Grand Total Estimation (Hours)</t>
  </si>
  <si>
    <t>USD Cost / Hour</t>
  </si>
  <si>
    <t>Total Cost (USD)</t>
  </si>
  <si>
    <t>Sr No.</t>
  </si>
  <si>
    <t>Web Application</t>
  </si>
  <si>
    <t>Combined Efforts</t>
  </si>
  <si>
    <t>Sr.No</t>
  </si>
  <si>
    <t>Application Name</t>
  </si>
  <si>
    <t>Development + Unit Testing Efforts</t>
  </si>
  <si>
    <t>Web App</t>
  </si>
  <si>
    <t>Out Of Scope</t>
  </si>
  <si>
    <t>Implementation &amp; Support</t>
  </si>
  <si>
    <t>Technical Design</t>
  </si>
  <si>
    <t>Cost Estimation and Feature Listing for Hanwha Dashboard Web Application - Phase 4</t>
  </si>
  <si>
    <t>Collect the data from camera if camera disconnected from application</t>
  </si>
  <si>
    <t>Sub - Features/Comments/Implementation</t>
  </si>
  <si>
    <t>In next cycle when API is responding, call the API by passing the start time as time when the camera got disconnected and end time as current time and fetch the data.
APIs are different for SUNAPI and WiseAI.
New Widget to be created for Connected/Disconnected Camera.
API / CGI commands will be shared by Ganesh.
Keep track of when the camera API did not respond and mark the camera as disconnected. 
Save datetime when the camera is marked as disconnected.</t>
  </si>
  <si>
    <t>Database Limit setting - Retention period, archive option should available.</t>
  </si>
  <si>
    <t>In General Configuration Settings, give option to select period, unto which the data needs to be retained.
Options will be in months.
User will enter number of months for which data needs to be retained.
Data will be archived in existing database/new database.
Data will be archived at the end of the month.
While displaying the historical data, if the selected filter is before the retention period, then data needs to be fetched from archive data and displayed.
Suggest for separate reports for archived data. Either user can see archived data or current data in the report.</t>
  </si>
  <si>
    <t>Database configured on separate server machine</t>
  </si>
  <si>
    <t>The option to define where the application database (MongoDB) will reside will be given in the application installation step.
While installing the application, user can select the drive in the same machine where database needs to be installed.
If user wants to have database on separate machine, it is required that Mongo DB is already installed in that machine and is accessible to the machine where Vision Insight application is installed.</t>
  </si>
  <si>
    <t>Database Auto Backup</t>
  </si>
  <si>
    <t>In General Configuration Settings, give option to enter the path where the Database backup files will be created and stored daily.
Daily Scheduler will create a backup of database and store it in the specified path.
The database backup files that are more than 7 days old will be deleted.
In case of server or db crash, user will manually select the database backup file from the path and can restore the data.</t>
  </si>
  <si>
    <t>SSM Dashboard in Vision Insight</t>
  </si>
  <si>
    <t>New Screen to List/Add/Edit Site</t>
  </si>
  <si>
    <t>Role Permission based Access</t>
  </si>
  <si>
    <t>Background job will store the data from SSM servers periodically</t>
  </si>
  <si>
    <t>New Dashboard to display SSM Widgets</t>
  </si>
  <si>
    <t>Filters for the Dashboard will be 1. SSM Site selection, 2. Datetime selection</t>
  </si>
  <si>
    <t>Health Report - CSV will be downloaded. System will generate CSV report for the selected filter. Report will display each record when device is online/offline. If any device online/offline multiple time within specific period in this case display each record with specific datetime</t>
  </si>
  <si>
    <t>Below data will be displayed on Dashboard based on selected filter:
1.	Total camera count
2.	Total SSM Server count
3.	Failure camera count
4.	Failure SSM server
5.	Display server-based data</t>
  </si>
  <si>
    <t>On clicking on Server-Based Data, below details will be displayed:
Server connection details
Server storage details per drive
Connected / Disconnected devices
CPU &gt; system manager, media server
RAM &gt; system manager, media server</t>
  </si>
  <si>
    <t>Audit Log</t>
  </si>
  <si>
    <t>Separate screen to see error logs. Option/Button to send the error log as email to developer.</t>
  </si>
  <si>
    <t>Permission based screen. User should have rights to view audit log screen.</t>
  </si>
  <si>
    <t>Implementation of audit log for every transaction and error logs.
New screen to see audit logs.</t>
  </si>
  <si>
    <t>API not responding - How to know</t>
  </si>
  <si>
    <t>Camera is online, but if any API is not responding then that camera will be marked as API not responding.
New Widget to show number of cameras with API not responding.
Show which camera API is not working.
In pop-up show in tabular form which camera are not working.</t>
  </si>
  <si>
    <t>Need to check X Series Wisenet 9 API issues</t>
  </si>
  <si>
    <t>Camera should support both WiseAI and SunAPI. By default it will first check WiseAI if it is installed on the camera device. Otherwise SUNAPI will be integrated.</t>
  </si>
  <si>
    <t>Time Format selection</t>
  </si>
  <si>
    <t>Implement 12/24 hour format in all screens, widgets, reports as selected in the configuration by the user.</t>
  </si>
  <si>
    <t>Multichannel/Dual Lens Camera</t>
  </si>
  <si>
    <t>In Manage Device screen, add new type of "Multichannel" camera.
Give textbox to enter the number of channels supported by the camera. Usually it will be between 2 to 5 channels.
This camera implementation will be similar to AI Box.
Each channel will reduce 1 camera count from the License.</t>
  </si>
  <si>
    <t>iDRAC Integration</t>
  </si>
  <si>
    <t>ANPR Module</t>
  </si>
  <si>
    <t>Separate Menu for iDRAC, with menu options of Configuration Settings and Dashboard</t>
  </si>
  <si>
    <t>Role Permission based access for iDRAC menu.</t>
  </si>
  <si>
    <t>Change in License App for ANPR Module.</t>
  </si>
  <si>
    <t>Add ANPR option in manage device when add edit device. Here user will also define Entry / Exit setting for specific camera.</t>
  </si>
  <si>
    <t>Implementation of capturing ANPR event from camera.</t>
  </si>
  <si>
    <t>Validating the vehicle event data and open the gate barrier integration alarm by CGI command. Same process for exit vehicle.</t>
  </si>
  <si>
    <t>For restricted vehicle gate will not open and alarm command to be given.</t>
  </si>
  <si>
    <t>Store large image and cropped image of ANPR detection at configured location.</t>
  </si>
  <si>
    <t>LPR Search Result Screen 
LPR search parameters
 =&gt; Select the floor/zone/devices
=&gt; Datetime range
=&gt; License Plate: Plate series,Vehicle number,Country,Region,Colour,Category,Length
=&gt; Vehicle: Type,Colour,Manufacturer, Model
=&gt; Owner Information: Owner,Building,Unit</t>
  </si>
  <si>
    <t>LPR search result in the grid with standard pagination and export to CSV option</t>
  </si>
  <si>
    <t>In ANPR Configuration, give 
=&gt; Plate Image Storage Location (Configure the path where all the plate images will be store)
=&gt; Data and image retention period:
    Configure in the month. After configured retention older image and data will be deleted from the system.
    Background job will execute daily and delete old data as per retention configuration. (considering delete not archive)</t>
  </si>
  <si>
    <t>New screen to Register Owners
- Name
- Building
- Unit
 - email
- Allowed vehicle (number of allowed vehicle in parking)
- Allowed from time (if it is configured owner cannot enter before this time)
- Allowed to time (if it is configured owner cannot enter after this time)
- Allowed gates (if it is configured owner can enter on selected gates only)
- System Notification for overstay (if vehicle is not exit before Allowed to time)
 -System notification for 24H stay</t>
  </si>
  <si>
    <t>New Screen to Register Vehicles
- Country
- Region
- Series
- Vehicle number
- Registration date
- Expired date
- Vehicle Owner
- RegistrationType[Registered, Visitor, Restricted]
- Vehicle Owner (select owner in case if Registered)
- Temporary owner name (for Temporary Visitor)
- email
- Temporary Allowed from time (for Temporary Visitor)
- Temporary Allowed to time (for Temporary Visitor)
- Temporary Allowed gates (for Temporary Visitor)
- System Notification alarm for overstay (if vehicle is not exit before Temporary Allowed to time)
- System Notification for 24H stay</t>
  </si>
  <si>
    <t>Creation of background job for Overstay notification</t>
  </si>
  <si>
    <t>Creation of background job for 24 Hours Overstay notification</t>
  </si>
  <si>
    <t>Screen to view audit data, details like who register/update the vehicle/Owner data</t>
  </si>
  <si>
    <t>CSV upload feature for vehicle registration.</t>
  </si>
  <si>
    <t>Allow manually open gate barrier from the camera grid.</t>
  </si>
  <si>
    <t>Set device as maintenance mode On/Off from the grid. Keep open the gate barrier in case of maintenance mode is ON.</t>
  </si>
  <si>
    <t>Floor/Zone utilization based on In/Out Vehicles.</t>
  </si>
  <si>
    <t>Basic Maintenance Features</t>
  </si>
  <si>
    <t>Need to have import option to upload cameras in Device management</t>
  </si>
  <si>
    <t>Give excel upload feature to import cameras in Device Management screen.
In response give list of camera records from excel which are not inserted.</t>
  </si>
  <si>
    <t xml:space="preserve">Need to have export to CSV to see number of devices and list </t>
  </si>
  <si>
    <t>In Device Management Screen, give option to export to CSV all the added/filtered devices.</t>
  </si>
  <si>
    <t xml:space="preserve">Need to have calculator on the export your report to have manual percentage value to be defined </t>
  </si>
  <si>
    <t>In/Out and Utilization Widgets Modifications</t>
  </si>
  <si>
    <t>In/Out Widget modifications</t>
  </si>
  <si>
    <t>In In/Out Widget, People and Vehicle, show both In and Out on same widget.</t>
  </si>
  <si>
    <t>Multiple UI Themes</t>
  </si>
  <si>
    <t>Give 8 different UI theme option under the configuration settings.</t>
  </si>
  <si>
    <t>New screen to add Dell server with ip, UserName, Password</t>
  </si>
  <si>
    <t>Event System Notification Criteria creation when Fan, Storage, RAM, Temperature goes beyond the set limit</t>
  </si>
  <si>
    <t>Live Dashboard (Monitoring View) to see CPU, memory, Storage, Temperature on screen for the selected server</t>
  </si>
  <si>
    <t>Admin User Creation</t>
  </si>
  <si>
    <t>Currently 2 users are created by default. Superadmin and systemadmin user. Create a third default user named “viadmin”. 
Only “viadmin” username and credentials will be shared by Hanwha team to their customers.
After installing the application, once the “viadmin” user does login, force the user to Reset Password.
“viadmin” user cannot be deleted from the application.
If password of “viadmin” user is forgotten, superadmin user can change the password (handled by Hanwha team).</t>
  </si>
  <si>
    <t>In PDF, at the bottom of table, write summary by finding the date on which the In-Out was more. F4B4</t>
  </si>
  <si>
    <t>Summary will be available only for those widget for which calculator option is considered.</t>
  </si>
  <si>
    <t>In Export Report popup, give option to open the Advance Options. In Advance Options, user can select the type of visitors (staff, security, Exhibitors, repeated customers ), text box to enter the number, option to define whether the entered value is number/percentage and option to select add/subtract.</t>
  </si>
  <si>
    <t>Based on the selection, the value in the report will be displayed. This option is required only in People,Gender,Vehicle,Vehicle Type,Forklift  In/Out widgets.</t>
  </si>
  <si>
    <t>In PDF, show the parameter options selected by user.</t>
  </si>
  <si>
    <t>In the PDF, at the bottom of the graph, show in tabular form In, Out and Total for each day. In last line also show Total In, Total Out and Total In-Out.</t>
  </si>
  <si>
    <t>In all the In/Out report, show the difference of In/Out hourly, not showing it as adding up total every hour. List of widgets discussed with Bala over call. Partial development already done and given.</t>
  </si>
  <si>
    <t>Assumptions &amp; Queries</t>
  </si>
  <si>
    <t>Change in License App for Maintenance Module.</t>
  </si>
  <si>
    <t>New Screen to Create / Update Maintenance Plan and view in grid.
- Plan name
- Duration
- Start date
- End date
- Devices (multi select))</t>
  </si>
  <si>
    <t>New Page to view Maintenance Schedule.</t>
  </si>
  <si>
    <t>Maintenance Schedule Page - User can export data in CSV.</t>
  </si>
  <si>
    <t>Maintenance Schedule  Page- Filter for search maintenance data, User can search by floor, zone, date and maintenance status. (floor and zone mapping will work as per existing implementation)</t>
  </si>
  <si>
    <t>Maintenance Schedule Page- Display all the maintenance data in grid with standard pagination as per selected filter.</t>
  </si>
  <si>
    <t>Background Service will create new data for future maintenance up to 30 days based on the Maintenance Plan created.</t>
  </si>
  <si>
    <t>Maintenance Schedule Page - Rework status history will display under maintenance popup in a table, so that if multiple times Rework is done, then history can be displayed.</t>
  </si>
  <si>
    <t>Maintenance Schedule Page - User can manually add new record for maintenance of any device in case of any high priority maintenance need.</t>
  </si>
  <si>
    <t>Maintenance Mode Widget as per Figma design</t>
  </si>
  <si>
    <t>Cameras in Maintenance Widget as per Figma design</t>
  </si>
  <si>
    <t>Camera Disconnection Tracker Widget as per Figma design</t>
  </si>
  <si>
    <t>Camera Maintenance Status Count Widget as per Figma design</t>
  </si>
  <si>
    <t>In Manage Devices, add new fiels in Add/Edit Device - Assets Tag, Manufacturing Date</t>
  </si>
  <si>
    <t>System Notification for due maintenance of camera.</t>
  </si>
  <si>
    <t>New screen to View/Add/Update RMA for a camera
- Create new RMA
- User can search RMA data by floor zone date and RMA status (In progress/Completed)
- Display RMA data in Grid with standard pagination
- User will manually mark a camera as "In RMA" and once the camera is back from RMA, he has to manually update that camera is back from RMA.
- RMA Start Date Time and RMA End Date Time fields will be given.</t>
  </si>
  <si>
    <t>Maintenance Schedule Page - User can compare before and after Image and update status to maintenance Completed if result is satisfactory.</t>
  </si>
  <si>
    <t>Maintenance Schedule Page - User can change status to maintenance Rework if required if user is not satisfied with the maintenance.</t>
  </si>
  <si>
    <t>Maintenance Schedule Page - Image comparison in percentage will be shown on screen for before and after maintenance.</t>
  </si>
  <si>
    <t>Maintenance Schedule Page - User will update status to maintenance In Progress and a live preview image will be captured and stored.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</si>
</sst>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charset val="134"/>
    </font>
    <font>
      <sz val="11"/>
      <color rgb="FF000000"/>
      <name val="Calibri"/>
      <family val="2"/>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b/>
      <sz val="14"/>
      <name val="Calibri"/>
      <family val="2"/>
      <scheme val="minor"/>
    </font>
    <font>
      <b/>
      <sz val="11"/>
      <color rgb="FFFFFFFF"/>
      <name val="Calibri"/>
      <family val="2"/>
      <scheme val="minor"/>
    </font>
    <font>
      <sz val="11"/>
      <color rgb="FFFFFFFF"/>
      <name val="Calibri"/>
      <family val="2"/>
      <scheme val="minor"/>
    </font>
    <font>
      <b/>
      <sz val="20"/>
      <name val="Calibri"/>
      <family val="2"/>
      <scheme val="minor"/>
    </font>
    <font>
      <b/>
      <sz val="11"/>
      <color theme="0"/>
      <name val="Calibri"/>
      <family val="2"/>
      <scheme val="minor"/>
    </font>
    <font>
      <b/>
      <sz val="11"/>
      <color theme="0"/>
      <name val="Calibri"/>
      <family val="2"/>
    </font>
    <font>
      <b/>
      <sz val="11"/>
      <color rgb="FF000000"/>
      <name val="Calibri"/>
      <family val="2"/>
    </font>
  </fonts>
  <fills count="14">
    <fill>
      <patternFill patternType="none"/>
    </fill>
    <fill>
      <patternFill patternType="gray125"/>
    </fill>
    <fill>
      <patternFill patternType="solid">
        <fgColor rgb="FF000000"/>
        <bgColor rgb="FF0D0D0D"/>
      </patternFill>
    </fill>
    <fill>
      <patternFill patternType="solid">
        <fgColor rgb="FF9DC3E6"/>
        <bgColor rgb="FFC0C0C0"/>
      </patternFill>
    </fill>
    <fill>
      <patternFill patternType="solid">
        <fgColor rgb="FF00FFFF"/>
        <bgColor rgb="FF00FFFF"/>
      </patternFill>
    </fill>
    <fill>
      <patternFill patternType="solid">
        <fgColor rgb="FF5B9BD5"/>
        <bgColor rgb="FF4F81BD"/>
      </patternFill>
    </fill>
    <fill>
      <patternFill patternType="solid">
        <fgColor rgb="FFDEEBF7"/>
        <bgColor rgb="FFCCFFFF"/>
      </patternFill>
    </fill>
    <fill>
      <patternFill patternType="solid">
        <fgColor rgb="FFFFFFFF"/>
        <bgColor rgb="FFFFFFCC"/>
      </patternFill>
    </fill>
    <fill>
      <patternFill patternType="solid">
        <fgColor rgb="FFC5E0B4"/>
        <bgColor rgb="FFC0C0C0"/>
      </patternFill>
    </fill>
    <fill>
      <patternFill patternType="solid">
        <fgColor rgb="FFFFFF00"/>
        <bgColor rgb="FFFFFF00"/>
      </patternFill>
    </fill>
    <fill>
      <patternFill patternType="solid">
        <fgColor rgb="FF00FF00"/>
        <bgColor rgb="FF33CCCC"/>
      </patternFill>
    </fill>
    <fill>
      <patternFill patternType="solid">
        <fgColor rgb="FFC0C0C0"/>
        <bgColor rgb="FF9DC3E6"/>
      </patternFill>
    </fill>
    <fill>
      <patternFill patternType="solid">
        <fgColor rgb="FF808080"/>
        <bgColor rgb="FF969696"/>
      </patternFill>
    </fill>
    <fill>
      <patternFill patternType="solid">
        <fgColor rgb="FFC00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1" fillId="0" borderId="0"/>
  </cellStyleXfs>
  <cellXfs count="100">
    <xf numFmtId="0" fontId="0" fillId="0" borderId="0" xfId="0">
      <alignment vertical="center"/>
    </xf>
    <xf numFmtId="0" fontId="2" fillId="0" borderId="1" xfId="1" applyFont="1" applyBorder="1" applyAlignment="1">
      <alignment vertical="top"/>
    </xf>
    <xf numFmtId="0" fontId="2" fillId="0" borderId="1" xfId="1" applyFont="1" applyBorder="1" applyAlignment="1">
      <alignment horizontal="center" vertical="top"/>
    </xf>
    <xf numFmtId="0" fontId="3" fillId="0" borderId="1" xfId="1" applyFont="1" applyBorder="1" applyAlignment="1">
      <alignment horizontal="left" vertical="top"/>
    </xf>
    <xf numFmtId="0" fontId="2" fillId="2" borderId="1" xfId="1" applyFont="1" applyFill="1" applyBorder="1" applyAlignment="1">
      <alignment vertical="top"/>
    </xf>
    <xf numFmtId="0" fontId="2" fillId="0" borderId="1" xfId="0" applyFont="1" applyBorder="1" applyAlignment="1">
      <alignment vertical="top"/>
    </xf>
    <xf numFmtId="0" fontId="3" fillId="2" borderId="1" xfId="1" applyFont="1" applyFill="1" applyBorder="1" applyAlignment="1">
      <alignment vertical="top"/>
    </xf>
    <xf numFmtId="0" fontId="4" fillId="0" borderId="1" xfId="0" applyFont="1" applyBorder="1" applyAlignment="1">
      <alignment vertical="top"/>
    </xf>
    <xf numFmtId="0" fontId="5" fillId="0" borderId="1" xfId="1" applyFont="1" applyBorder="1" applyAlignment="1">
      <alignment vertical="top"/>
    </xf>
    <xf numFmtId="0" fontId="3" fillId="4" borderId="1" xfId="1" applyFont="1" applyFill="1" applyBorder="1" applyAlignment="1">
      <alignment vertical="top"/>
    </xf>
    <xf numFmtId="0" fontId="6" fillId="5" borderId="1" xfId="1" applyFont="1" applyFill="1" applyBorder="1" applyAlignment="1">
      <alignment horizontal="center" vertical="top"/>
    </xf>
    <xf numFmtId="0" fontId="2" fillId="4" borderId="1" xfId="1" applyFont="1" applyFill="1" applyBorder="1" applyAlignment="1">
      <alignment vertical="top"/>
    </xf>
    <xf numFmtId="0" fontId="4" fillId="7" borderId="1" xfId="1" applyFont="1" applyFill="1" applyBorder="1" applyAlignment="1">
      <alignment horizontal="center" vertical="top"/>
    </xf>
    <xf numFmtId="0" fontId="7" fillId="0" borderId="1" xfId="1" applyFont="1" applyBorder="1" applyAlignment="1">
      <alignment vertical="top"/>
    </xf>
    <xf numFmtId="0" fontId="2" fillId="8" borderId="1" xfId="1" applyFont="1" applyFill="1" applyBorder="1" applyAlignment="1">
      <alignment horizontal="center" vertical="top"/>
    </xf>
    <xf numFmtId="1" fontId="2" fillId="0" borderId="1" xfId="1" applyNumberFormat="1" applyFont="1" applyBorder="1" applyAlignment="1">
      <alignment vertical="top"/>
    </xf>
    <xf numFmtId="0" fontId="3" fillId="0" borderId="1" xfId="1" applyFont="1" applyBorder="1" applyAlignment="1">
      <alignment vertical="top"/>
    </xf>
    <xf numFmtId="0" fontId="2" fillId="7" borderId="1" xfId="1" applyFont="1" applyFill="1" applyBorder="1" applyAlignment="1">
      <alignment vertical="top"/>
    </xf>
    <xf numFmtId="0" fontId="2" fillId="7" borderId="1" xfId="0" applyFont="1" applyFill="1" applyBorder="1" applyAlignment="1">
      <alignment vertical="top"/>
    </xf>
    <xf numFmtId="0" fontId="3" fillId="10" borderId="1" xfId="1" applyFont="1" applyFill="1" applyBorder="1" applyAlignment="1">
      <alignment vertical="top"/>
    </xf>
    <xf numFmtId="2" fontId="3" fillId="0" borderId="1" xfId="1" applyNumberFormat="1" applyFont="1" applyBorder="1" applyAlignment="1">
      <alignment vertical="top"/>
    </xf>
    <xf numFmtId="0" fontId="3" fillId="7" borderId="1" xfId="1" applyFont="1" applyFill="1" applyBorder="1" applyAlignment="1">
      <alignment vertical="top"/>
    </xf>
    <xf numFmtId="2" fontId="2" fillId="0" borderId="1" xfId="1" applyNumberFormat="1" applyFont="1" applyBorder="1" applyAlignment="1">
      <alignment vertical="top"/>
    </xf>
    <xf numFmtId="0" fontId="2" fillId="11" borderId="1" xfId="1" applyFont="1" applyFill="1" applyBorder="1" applyAlignment="1">
      <alignment vertical="top"/>
    </xf>
    <xf numFmtId="0" fontId="3" fillId="11" borderId="1" xfId="1" applyFont="1" applyFill="1" applyBorder="1" applyAlignment="1">
      <alignment vertical="top"/>
    </xf>
    <xf numFmtId="0" fontId="3" fillId="11" borderId="1" xfId="1" applyFont="1" applyFill="1" applyBorder="1" applyAlignment="1">
      <alignment horizontal="center" vertical="top"/>
    </xf>
    <xf numFmtId="0" fontId="2" fillId="6" borderId="1" xfId="1" applyFont="1" applyFill="1" applyBorder="1" applyAlignment="1">
      <alignment vertical="top"/>
    </xf>
    <xf numFmtId="1" fontId="2" fillId="6" borderId="1" xfId="1" applyNumberFormat="1" applyFont="1" applyFill="1" applyBorder="1" applyAlignment="1">
      <alignment horizontal="center" vertical="top"/>
    </xf>
    <xf numFmtId="2" fontId="2" fillId="6" borderId="1" xfId="1" applyNumberFormat="1" applyFont="1" applyFill="1" applyBorder="1" applyAlignment="1">
      <alignment vertical="top"/>
    </xf>
    <xf numFmtId="1" fontId="2" fillId="9" borderId="1" xfId="1" applyNumberFormat="1" applyFont="1" applyFill="1" applyBorder="1" applyAlignment="1">
      <alignment horizontal="center" vertical="top"/>
    </xf>
    <xf numFmtId="0" fontId="2" fillId="6" borderId="1" xfId="1" applyFont="1" applyFill="1" applyBorder="1" applyAlignment="1">
      <alignment horizontal="center" vertical="top"/>
    </xf>
    <xf numFmtId="0" fontId="3" fillId="10" borderId="1" xfId="1" applyFont="1" applyFill="1" applyBorder="1" applyAlignment="1">
      <alignment horizontal="right" vertical="top"/>
    </xf>
    <xf numFmtId="0" fontId="3" fillId="10" borderId="1" xfId="1" applyFont="1" applyFill="1" applyBorder="1" applyAlignment="1">
      <alignment horizontal="center" vertical="top"/>
    </xf>
    <xf numFmtId="2" fontId="3" fillId="10" borderId="1" xfId="1" applyNumberFormat="1" applyFont="1" applyFill="1" applyBorder="1" applyAlignment="1">
      <alignment vertical="top"/>
    </xf>
    <xf numFmtId="0" fontId="8" fillId="12" borderId="1" xfId="1" applyFont="1" applyFill="1" applyBorder="1" applyAlignment="1">
      <alignment vertical="top"/>
    </xf>
    <xf numFmtId="0" fontId="7" fillId="12" borderId="1" xfId="1" applyFont="1" applyFill="1" applyBorder="1" applyAlignment="1">
      <alignment horizontal="center" vertical="top" wrapText="1"/>
    </xf>
    <xf numFmtId="2" fontId="8" fillId="12" borderId="1" xfId="1" applyNumberFormat="1" applyFont="1" applyFill="1" applyBorder="1" applyAlignment="1">
      <alignment horizontal="right" vertical="top" wrapText="1"/>
    </xf>
    <xf numFmtId="2" fontId="8" fillId="0" borderId="1" xfId="1" applyNumberFormat="1" applyFont="1" applyBorder="1" applyAlignment="1">
      <alignment horizontal="right" vertical="top" wrapText="1"/>
    </xf>
    <xf numFmtId="0" fontId="3" fillId="0" borderId="1" xfId="1" applyFont="1" applyBorder="1" applyAlignment="1">
      <alignment horizontal="right" vertical="top"/>
    </xf>
    <xf numFmtId="2" fontId="2" fillId="7" borderId="1" xfId="1" applyNumberFormat="1" applyFont="1" applyFill="1" applyBorder="1" applyAlignment="1">
      <alignment vertical="top"/>
    </xf>
    <xf numFmtId="0" fontId="10" fillId="13" borderId="1" xfId="0" applyFont="1" applyFill="1" applyBorder="1" applyAlignment="1">
      <alignment horizontal="center" vertical="top"/>
    </xf>
    <xf numFmtId="0" fontId="2" fillId="0" borderId="0" xfId="0" applyFont="1" applyAlignment="1">
      <alignment vertical="top"/>
    </xf>
    <xf numFmtId="0" fontId="2" fillId="0" borderId="1" xfId="0" applyFont="1" applyBorder="1" applyAlignment="1">
      <alignment vertical="top" wrapText="1"/>
    </xf>
    <xf numFmtId="0" fontId="10" fillId="13" borderId="1" xfId="0" applyFont="1" applyFill="1" applyBorder="1" applyAlignment="1">
      <alignment horizontal="center" vertical="top" wrapText="1"/>
    </xf>
    <xf numFmtId="0" fontId="0" fillId="0" borderId="1" xfId="0" applyBorder="1">
      <alignment vertical="center"/>
    </xf>
    <xf numFmtId="0" fontId="11" fillId="13" borderId="1" xfId="0" applyFont="1" applyFill="1" applyBorder="1">
      <alignment vertical="center"/>
    </xf>
    <xf numFmtId="2" fontId="0" fillId="0" borderId="1" xfId="0" applyNumberFormat="1" applyBorder="1">
      <alignment vertical="center"/>
    </xf>
    <xf numFmtId="0" fontId="0" fillId="0" borderId="1" xfId="0" applyBorder="1" applyAlignment="1">
      <alignment vertical="top"/>
    </xf>
    <xf numFmtId="0" fontId="0" fillId="0" borderId="1" xfId="0" applyBorder="1" applyAlignment="1">
      <alignment vertical="top" wrapText="1"/>
    </xf>
    <xf numFmtId="0" fontId="0" fillId="0" borderId="3" xfId="0" applyBorder="1" applyAlignment="1">
      <alignment horizontal="left" vertical="top"/>
    </xf>
    <xf numFmtId="0" fontId="4" fillId="7" borderId="3" xfId="1" applyFont="1" applyFill="1" applyBorder="1" applyAlignment="1">
      <alignment horizontal="center" vertical="top"/>
    </xf>
    <xf numFmtId="0" fontId="0" fillId="0" borderId="1" xfId="0" applyBorder="1" applyAlignment="1">
      <alignment horizontal="left" vertical="top"/>
    </xf>
    <xf numFmtId="0" fontId="2" fillId="0" borderId="1" xfId="1" applyFont="1" applyBorder="1" applyAlignment="1">
      <alignment vertical="top" wrapText="1"/>
    </xf>
    <xf numFmtId="0" fontId="1" fillId="0" borderId="0" xfId="0" applyFont="1">
      <alignment vertical="center"/>
    </xf>
    <xf numFmtId="0" fontId="1" fillId="0" borderId="2" xfId="0" applyFont="1" applyBorder="1" applyAlignment="1">
      <alignment horizontal="left" vertical="top"/>
    </xf>
    <xf numFmtId="0" fontId="1" fillId="0" borderId="3" xfId="0" applyFont="1" applyBorder="1" applyAlignment="1">
      <alignment horizontal="left" vertical="top"/>
    </xf>
    <xf numFmtId="0" fontId="4" fillId="7" borderId="2" xfId="1" applyFont="1" applyFill="1" applyBorder="1" applyAlignment="1">
      <alignment horizontal="center" vertical="top"/>
    </xf>
    <xf numFmtId="0" fontId="2" fillId="0" borderId="2" xfId="1" applyFont="1" applyBorder="1" applyAlignment="1">
      <alignment horizontal="left" vertical="top"/>
    </xf>
    <xf numFmtId="0" fontId="1" fillId="0" borderId="1" xfId="0" applyFont="1" applyBorder="1" applyAlignment="1">
      <alignment vertical="center" wrapText="1"/>
    </xf>
    <xf numFmtId="0" fontId="1" fillId="0" borderId="2" xfId="0" applyFont="1" applyBorder="1" applyAlignment="1">
      <alignment horizontal="left" vertical="top" wrapText="1"/>
    </xf>
    <xf numFmtId="0" fontId="2" fillId="2" borderId="2" xfId="1" applyFont="1" applyFill="1" applyBorder="1" applyAlignment="1">
      <alignment vertical="top"/>
    </xf>
    <xf numFmtId="0" fontId="1" fillId="0" borderId="2" xfId="0" applyFont="1" applyBorder="1" applyAlignment="1">
      <alignment vertical="center" wrapText="1"/>
    </xf>
    <xf numFmtId="0" fontId="7" fillId="0" borderId="2" xfId="1" applyFont="1" applyBorder="1" applyAlignment="1">
      <alignment vertical="top"/>
    </xf>
    <xf numFmtId="0" fontId="2" fillId="8" borderId="2" xfId="1" applyFont="1" applyFill="1" applyBorder="1" applyAlignment="1">
      <alignment horizontal="center" vertical="top"/>
    </xf>
    <xf numFmtId="0" fontId="2" fillId="0" borderId="2" xfId="1" applyFont="1" applyBorder="1" applyAlignment="1">
      <alignment horizontal="center" vertical="top"/>
    </xf>
    <xf numFmtId="0" fontId="2" fillId="0" borderId="2" xfId="1" applyFont="1" applyBorder="1" applyAlignment="1">
      <alignment vertical="top"/>
    </xf>
    <xf numFmtId="1" fontId="2" fillId="0" borderId="2" xfId="1" applyNumberFormat="1" applyFont="1" applyBorder="1" applyAlignment="1">
      <alignment vertical="top"/>
    </xf>
    <xf numFmtId="0" fontId="2" fillId="0" borderId="2" xfId="0" applyFont="1" applyBorder="1" applyAlignment="1">
      <alignment vertical="top"/>
    </xf>
    <xf numFmtId="0" fontId="2" fillId="0" borderId="2" xfId="1" applyFont="1" applyBorder="1" applyAlignment="1">
      <alignment vertical="top" wrapText="1"/>
    </xf>
    <xf numFmtId="0" fontId="2" fillId="0" borderId="1" xfId="1" applyFont="1" applyBorder="1" applyAlignment="1">
      <alignment horizontal="left" vertical="top" wrapText="1"/>
    </xf>
    <xf numFmtId="0" fontId="2" fillId="0" borderId="7" xfId="0" applyFont="1" applyBorder="1" applyAlignment="1">
      <alignment horizontal="left" vertical="center" wrapText="1"/>
    </xf>
    <xf numFmtId="1" fontId="3" fillId="10" borderId="1" xfId="1" applyNumberFormat="1" applyFont="1" applyFill="1" applyBorder="1" applyAlignment="1">
      <alignment horizontal="right" vertical="top"/>
    </xf>
    <xf numFmtId="0" fontId="3" fillId="10" borderId="1" xfId="1" applyFont="1" applyFill="1" applyBorder="1" applyAlignment="1">
      <alignment horizontal="left" vertical="top"/>
    </xf>
    <xf numFmtId="0" fontId="3" fillId="10" borderId="5" xfId="1" applyFont="1" applyFill="1" applyBorder="1" applyAlignment="1">
      <alignment horizontal="center" vertical="top"/>
    </xf>
    <xf numFmtId="0" fontId="3" fillId="10" borderId="6" xfId="1" applyFont="1" applyFill="1" applyBorder="1" applyAlignment="1">
      <alignment horizontal="center" vertical="top"/>
    </xf>
    <xf numFmtId="0" fontId="3" fillId="10" borderId="7" xfId="1" applyFont="1" applyFill="1" applyBorder="1" applyAlignment="1">
      <alignment horizontal="center" vertical="top"/>
    </xf>
    <xf numFmtId="0" fontId="11" fillId="13" borderId="1" xfId="0" applyFont="1" applyFill="1" applyBorder="1" applyAlignment="1">
      <alignment horizontal="center" vertical="center"/>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9" fillId="0" borderId="5" xfId="1" applyFont="1" applyBorder="1" applyAlignment="1">
      <alignment horizontal="center" vertical="top"/>
    </xf>
    <xf numFmtId="0" fontId="9" fillId="0" borderId="6" xfId="1" applyFont="1" applyBorder="1" applyAlignment="1">
      <alignment horizontal="center" vertical="top"/>
    </xf>
    <xf numFmtId="0" fontId="6" fillId="3" borderId="1" xfId="1" applyFont="1" applyFill="1" applyBorder="1" applyAlignment="1">
      <alignment horizontal="center" vertical="top" wrapText="1"/>
    </xf>
    <xf numFmtId="0" fontId="6" fillId="3" borderId="1" xfId="1" applyFont="1" applyFill="1" applyBorder="1" applyAlignment="1">
      <alignment horizontal="center" vertical="top"/>
    </xf>
    <xf numFmtId="2" fontId="6" fillId="3" borderId="1" xfId="1" applyNumberFormat="1" applyFont="1" applyFill="1" applyBorder="1" applyAlignment="1">
      <alignment horizontal="center" vertical="top"/>
    </xf>
    <xf numFmtId="0" fontId="6" fillId="6" borderId="1" xfId="1" applyFont="1" applyFill="1" applyBorder="1" applyAlignment="1">
      <alignment horizontal="center" vertical="top"/>
    </xf>
    <xf numFmtId="0" fontId="2" fillId="0" borderId="2" xfId="1" applyFont="1" applyBorder="1" applyAlignment="1">
      <alignment horizontal="left" vertical="top" wrapText="1"/>
    </xf>
    <xf numFmtId="0" fontId="2" fillId="0" borderId="4" xfId="1" applyFont="1" applyBorder="1" applyAlignment="1">
      <alignment horizontal="left" vertical="top" wrapText="1"/>
    </xf>
    <xf numFmtId="0" fontId="2" fillId="0" borderId="3" xfId="1" applyFont="1" applyBorder="1" applyAlignment="1">
      <alignment horizontal="left" vertical="top" wrapText="1"/>
    </xf>
    <xf numFmtId="0" fontId="3" fillId="0" borderId="2" xfId="1" applyFont="1" applyBorder="1" applyAlignment="1">
      <alignment horizontal="left" vertical="top"/>
    </xf>
    <xf numFmtId="0" fontId="3" fillId="0" borderId="4" xfId="1" applyFont="1" applyBorder="1" applyAlignment="1">
      <alignment horizontal="left" vertical="top"/>
    </xf>
    <xf numFmtId="0" fontId="3" fillId="0" borderId="3" xfId="1" applyFont="1" applyBorder="1" applyAlignment="1">
      <alignment horizontal="left" vertical="top"/>
    </xf>
    <xf numFmtId="0" fontId="1" fillId="0" borderId="2" xfId="0" applyFont="1" applyBorder="1" applyAlignment="1">
      <alignment horizontal="left" vertical="top"/>
    </xf>
    <xf numFmtId="0" fontId="1" fillId="0" borderId="4" xfId="0" applyFont="1" applyBorder="1" applyAlignment="1">
      <alignment horizontal="left" vertical="top"/>
    </xf>
    <xf numFmtId="0" fontId="1" fillId="0" borderId="3" xfId="0" applyFont="1" applyBorder="1" applyAlignment="1">
      <alignment horizontal="left" vertical="top"/>
    </xf>
    <xf numFmtId="0" fontId="12" fillId="0" borderId="2" xfId="0" applyFont="1" applyBorder="1" applyAlignment="1">
      <alignment horizontal="left" vertical="top"/>
    </xf>
    <xf numFmtId="0" fontId="12" fillId="0" borderId="4" xfId="0" applyFont="1" applyBorder="1" applyAlignment="1">
      <alignment horizontal="left" vertical="top"/>
    </xf>
    <xf numFmtId="0" fontId="12" fillId="0" borderId="3" xfId="0" applyFont="1" applyBorder="1" applyAlignment="1">
      <alignment horizontal="left" vertical="top"/>
    </xf>
  </cellXfs>
  <cellStyles count="2">
    <cellStyle name="Excel Built-in Normal"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DEEBF7"/>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DC3E6"/>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D349E-C1FC-4592-A374-89A1493FA480}">
  <dimension ref="A1:G19"/>
  <sheetViews>
    <sheetView workbookViewId="0">
      <selection activeCell="J28" sqref="J28"/>
    </sheetView>
  </sheetViews>
  <sheetFormatPr defaultRowHeight="15"/>
  <cols>
    <col min="1" max="1" width="5.85546875" bestFit="1" customWidth="1"/>
    <col min="2" max="2" width="32.85546875" bestFit="1" customWidth="1"/>
    <col min="4" max="4" width="58.5703125" customWidth="1"/>
    <col min="5" max="5" width="16.5703125" bestFit="1" customWidth="1"/>
    <col min="6" max="6" width="15.5703125" bestFit="1" customWidth="1"/>
    <col min="7" max="7" width="9.140625" bestFit="1" customWidth="1"/>
    <col min="9" max="9" width="8.5703125" bestFit="1" customWidth="1"/>
  </cols>
  <sheetData>
    <row r="1" spans="1:7">
      <c r="A1" s="45" t="s">
        <v>20</v>
      </c>
      <c r="B1" s="76" t="s">
        <v>21</v>
      </c>
      <c r="C1" s="76"/>
      <c r="D1" s="76"/>
      <c r="E1" s="45" t="s">
        <v>19</v>
      </c>
      <c r="F1" s="45" t="s">
        <v>4</v>
      </c>
      <c r="G1" s="45" t="s">
        <v>5</v>
      </c>
    </row>
    <row r="2" spans="1:7">
      <c r="A2" s="44">
        <v>1</v>
      </c>
      <c r="B2" s="77" t="s">
        <v>23</v>
      </c>
      <c r="C2" s="78"/>
      <c r="D2" s="78"/>
      <c r="E2" s="46">
        <f>SUM(F2:G2)</f>
        <v>1616</v>
      </c>
      <c r="F2" s="46">
        <f>'Feature List - Web App'!G104</f>
        <v>672</v>
      </c>
      <c r="G2" s="46">
        <f>'Feature List - Web App'!H104</f>
        <v>944</v>
      </c>
    </row>
    <row r="3" spans="1:7">
      <c r="A3" s="44"/>
      <c r="B3" s="77"/>
      <c r="C3" s="77"/>
      <c r="D3" s="77"/>
      <c r="E3" s="46"/>
      <c r="F3" s="46"/>
      <c r="G3" s="46"/>
    </row>
    <row r="4" spans="1:7">
      <c r="A4" s="44"/>
      <c r="B4" s="79"/>
      <c r="C4" s="80"/>
      <c r="D4" s="81"/>
      <c r="E4" s="44"/>
      <c r="F4" s="44"/>
      <c r="G4" s="44"/>
    </row>
    <row r="5" spans="1:7">
      <c r="A5" s="73" t="s">
        <v>19</v>
      </c>
      <c r="B5" s="74"/>
      <c r="C5" s="74"/>
      <c r="D5" s="75"/>
      <c r="E5" s="33">
        <f>SUM(F5+G5)</f>
        <v>1616</v>
      </c>
      <c r="F5" s="20">
        <f>SUM(F2:F3)</f>
        <v>672</v>
      </c>
      <c r="G5" s="20">
        <f>SUM(G2:G3)</f>
        <v>944</v>
      </c>
    </row>
    <row r="6" spans="1:7">
      <c r="A6" s="23"/>
      <c r="B6" s="24" t="s">
        <v>6</v>
      </c>
      <c r="C6" s="24"/>
      <c r="D6" s="25" t="s">
        <v>2</v>
      </c>
      <c r="E6" s="23"/>
      <c r="F6" s="23"/>
      <c r="G6" s="23"/>
    </row>
    <row r="7" spans="1:7">
      <c r="A7" s="26">
        <v>1</v>
      </c>
      <c r="B7" s="26" t="s">
        <v>7</v>
      </c>
      <c r="C7" s="26"/>
      <c r="D7" s="27">
        <v>5</v>
      </c>
      <c r="E7" s="28">
        <f>E5*D7/100</f>
        <v>80.8</v>
      </c>
      <c r="F7" s="22"/>
      <c r="G7" s="22"/>
    </row>
    <row r="8" spans="1:7">
      <c r="A8" s="26">
        <v>2</v>
      </c>
      <c r="B8" s="26" t="s">
        <v>8</v>
      </c>
      <c r="C8" s="26"/>
      <c r="D8" s="27">
        <v>5</v>
      </c>
      <c r="E8" s="28">
        <f>E5*D8/100</f>
        <v>80.8</v>
      </c>
      <c r="F8" s="22"/>
      <c r="G8" s="22"/>
    </row>
    <row r="9" spans="1:7">
      <c r="A9" s="26">
        <v>3</v>
      </c>
      <c r="B9" s="26" t="s">
        <v>26</v>
      </c>
      <c r="C9" s="26"/>
      <c r="D9" s="27">
        <v>0</v>
      </c>
      <c r="E9" s="28">
        <f>E5*D9/100</f>
        <v>0</v>
      </c>
      <c r="F9" s="22"/>
      <c r="G9" s="22"/>
    </row>
    <row r="10" spans="1:7">
      <c r="A10" s="26">
        <v>4</v>
      </c>
      <c r="B10" s="26" t="s">
        <v>9</v>
      </c>
      <c r="C10" s="26"/>
      <c r="D10" s="27">
        <v>5</v>
      </c>
      <c r="E10" s="28">
        <f>E5*D10/100</f>
        <v>80.8</v>
      </c>
      <c r="F10" s="22"/>
      <c r="G10" s="22"/>
    </row>
    <row r="11" spans="1:7">
      <c r="A11" s="26">
        <v>5</v>
      </c>
      <c r="B11" s="26" t="s">
        <v>10</v>
      </c>
      <c r="C11" s="26"/>
      <c r="D11" s="29">
        <v>5</v>
      </c>
      <c r="E11" s="28">
        <f>E5*D11/100</f>
        <v>80.8</v>
      </c>
      <c r="F11" s="22"/>
      <c r="G11" s="22"/>
    </row>
    <row r="12" spans="1:7">
      <c r="A12" s="26">
        <v>6</v>
      </c>
      <c r="B12" s="26" t="s">
        <v>11</v>
      </c>
      <c r="C12" s="26"/>
      <c r="D12" s="29">
        <v>20</v>
      </c>
      <c r="E12" s="28">
        <f>E5*D12/100</f>
        <v>323.2</v>
      </c>
      <c r="F12" s="22"/>
      <c r="G12" s="22"/>
    </row>
    <row r="13" spans="1:7">
      <c r="A13" s="26">
        <v>7</v>
      </c>
      <c r="B13" s="26" t="s">
        <v>25</v>
      </c>
      <c r="C13" s="26"/>
      <c r="D13" s="30">
        <v>0</v>
      </c>
      <c r="E13" s="28">
        <f>E5*D13/100</f>
        <v>0</v>
      </c>
      <c r="F13" s="22"/>
      <c r="G13" s="22"/>
    </row>
    <row r="14" spans="1:7">
      <c r="A14" s="19"/>
      <c r="B14" s="72" t="s">
        <v>12</v>
      </c>
      <c r="C14" s="72"/>
      <c r="D14" s="32"/>
      <c r="E14" s="33">
        <f>SUM(E5:E13)</f>
        <v>2262.3999999999996</v>
      </c>
      <c r="F14" s="20"/>
      <c r="G14" s="20"/>
    </row>
    <row r="15" spans="1:7">
      <c r="A15" s="26">
        <v>8</v>
      </c>
      <c r="B15" s="26" t="s">
        <v>13</v>
      </c>
      <c r="C15" s="26"/>
      <c r="D15" s="27">
        <v>0</v>
      </c>
      <c r="E15" s="28">
        <v>0</v>
      </c>
      <c r="F15" s="22"/>
      <c r="G15" s="22"/>
    </row>
    <row r="16" spans="1:7">
      <c r="A16" s="19"/>
      <c r="B16" s="19" t="s">
        <v>14</v>
      </c>
      <c r="C16" s="19"/>
      <c r="D16" s="32"/>
      <c r="E16" s="33">
        <f>E14+E15</f>
        <v>2262.3999999999996</v>
      </c>
      <c r="F16" s="20"/>
      <c r="G16" s="20"/>
    </row>
    <row r="17" spans="1:7">
      <c r="A17" s="34"/>
      <c r="B17" s="34"/>
      <c r="C17" s="34"/>
      <c r="D17" s="35" t="s">
        <v>15</v>
      </c>
      <c r="E17" s="36"/>
      <c r="F17" s="37"/>
      <c r="G17" s="37"/>
    </row>
    <row r="18" spans="1:7">
      <c r="A18" s="19"/>
      <c r="B18" s="19"/>
      <c r="C18" s="19"/>
      <c r="D18" s="32">
        <v>18</v>
      </c>
      <c r="E18" s="71">
        <f>SUM(D18*E16)</f>
        <v>40723.199999999997</v>
      </c>
      <c r="F18" s="37"/>
      <c r="G18" s="37"/>
    </row>
    <row r="19" spans="1:7">
      <c r="A19" s="19"/>
      <c r="B19" s="19" t="s">
        <v>16</v>
      </c>
      <c r="C19" s="19"/>
      <c r="D19" s="32">
        <v>20</v>
      </c>
      <c r="E19" s="31">
        <f>SUM(D19*E16)</f>
        <v>45247.999999999993</v>
      </c>
      <c r="F19" s="38"/>
      <c r="G19" s="38"/>
    </row>
  </sheetData>
  <mergeCells count="6">
    <mergeCell ref="B14:C14"/>
    <mergeCell ref="A5:D5"/>
    <mergeCell ref="B1:D1"/>
    <mergeCell ref="B2:D2"/>
    <mergeCell ref="B3:D3"/>
    <mergeCell ref="B4:D4"/>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F6D38-7701-40AB-8C3F-F6DBD3AFDDC7}">
  <dimension ref="A1:IP172"/>
  <sheetViews>
    <sheetView tabSelected="1" zoomScaleNormal="100" workbookViewId="0">
      <selection activeCell="F5" sqref="F5"/>
    </sheetView>
  </sheetViews>
  <sheetFormatPr defaultColWidth="12.42578125" defaultRowHeight="15"/>
  <cols>
    <col min="1" max="1" width="1.5703125" style="4" customWidth="1"/>
    <col min="2" max="2" width="7.42578125" style="1" bestFit="1" customWidth="1"/>
    <col min="3" max="3" width="45.5703125" style="1" bestFit="1" customWidth="1"/>
    <col min="4" max="4" width="136" style="1" bestFit="1" customWidth="1"/>
    <col min="5" max="5" width="16.85546875" style="1" bestFit="1" customWidth="1"/>
    <col min="6" max="6" width="12.5703125" style="22" customWidth="1"/>
    <col min="7" max="7" width="12.5703125" style="22" bestFit="1" customWidth="1"/>
    <col min="8" max="8" width="11.5703125" style="22" bestFit="1" customWidth="1"/>
    <col min="9" max="9" width="1.5703125" style="4" customWidth="1"/>
    <col min="10" max="244" width="9.5703125" style="1" customWidth="1"/>
    <col min="245" max="245" width="17.42578125" style="1" customWidth="1"/>
    <col min="246" max="246" width="100" style="1" customWidth="1"/>
    <col min="247" max="247" width="6.5703125" style="1" customWidth="1"/>
    <col min="248" max="248" width="1.5703125" style="1" customWidth="1"/>
    <col min="249" max="249" width="10.5703125" style="1" customWidth="1"/>
    <col min="250" max="250" width="11.5703125" style="1" customWidth="1"/>
    <col min="251" max="1018" width="12.42578125" style="5"/>
    <col min="1019" max="1024" width="10.42578125" style="5" customWidth="1"/>
    <col min="1025" max="16384" width="12.42578125" style="5"/>
  </cols>
  <sheetData>
    <row r="1" spans="1:250" ht="26.25">
      <c r="A1" s="82" t="s">
        <v>27</v>
      </c>
      <c r="B1" s="83"/>
      <c r="C1" s="83"/>
      <c r="D1" s="83"/>
      <c r="E1" s="83"/>
      <c r="F1" s="83"/>
      <c r="G1" s="83"/>
      <c r="H1" s="83"/>
    </row>
    <row r="2" spans="1:250" ht="36.75" customHeight="1">
      <c r="A2" s="6"/>
      <c r="B2" s="5"/>
      <c r="C2" s="5"/>
      <c r="D2" s="7"/>
      <c r="E2" s="8"/>
      <c r="F2" s="84" t="s">
        <v>22</v>
      </c>
      <c r="G2" s="84"/>
      <c r="H2" s="84"/>
      <c r="IK2" s="9"/>
      <c r="IL2" s="9"/>
      <c r="IM2" s="9"/>
      <c r="IN2" s="9"/>
      <c r="IO2" s="9"/>
      <c r="IP2" s="9"/>
    </row>
    <row r="3" spans="1:250" ht="18.75">
      <c r="B3" s="10" t="s">
        <v>0</v>
      </c>
      <c r="C3" s="10" t="s">
        <v>1</v>
      </c>
      <c r="D3" s="10" t="s">
        <v>29</v>
      </c>
      <c r="E3" s="85" t="s">
        <v>2</v>
      </c>
      <c r="F3" s="86" t="s">
        <v>3</v>
      </c>
      <c r="G3" s="86" t="s">
        <v>4</v>
      </c>
      <c r="H3" s="86" t="s">
        <v>5</v>
      </c>
      <c r="IK3" s="11"/>
      <c r="IL3" s="11"/>
      <c r="IM3" s="11"/>
      <c r="IN3" s="11"/>
      <c r="IO3" s="11"/>
      <c r="IP3" s="11"/>
    </row>
    <row r="4" spans="1:250" ht="18.75">
      <c r="B4" s="87" t="s">
        <v>18</v>
      </c>
      <c r="C4" s="87"/>
      <c r="D4" s="87"/>
      <c r="E4" s="85"/>
      <c r="F4" s="86"/>
      <c r="G4" s="86"/>
      <c r="H4" s="86"/>
      <c r="IK4" s="11"/>
      <c r="IL4" s="11"/>
      <c r="IM4" s="11"/>
      <c r="IN4" s="11"/>
      <c r="IO4" s="11"/>
      <c r="IP4" s="11"/>
    </row>
    <row r="5" spans="1:250" ht="105">
      <c r="B5" s="56">
        <v>1</v>
      </c>
      <c r="C5" s="59" t="s">
        <v>28</v>
      </c>
      <c r="D5" s="58" t="s">
        <v>30</v>
      </c>
      <c r="E5" s="13"/>
      <c r="F5" s="14">
        <f>SUM(G5,H5)</f>
        <v>36</v>
      </c>
      <c r="G5" s="2">
        <v>12</v>
      </c>
      <c r="H5" s="2">
        <v>24</v>
      </c>
      <c r="K5" s="15"/>
    </row>
    <row r="6" spans="1:250">
      <c r="B6" s="12"/>
      <c r="C6" s="51"/>
      <c r="D6" s="52"/>
      <c r="E6" s="13"/>
      <c r="F6" s="14"/>
      <c r="G6" s="2"/>
      <c r="H6" s="2"/>
      <c r="K6" s="15"/>
    </row>
    <row r="7" spans="1:250" s="67" customFormat="1" ht="120">
      <c r="A7" s="60"/>
      <c r="B7" s="56">
        <v>2</v>
      </c>
      <c r="C7" s="59" t="s">
        <v>31</v>
      </c>
      <c r="D7" s="61" t="s">
        <v>32</v>
      </c>
      <c r="E7" s="62"/>
      <c r="F7" s="63">
        <f>SUM(G7,H7)</f>
        <v>40</v>
      </c>
      <c r="G7" s="64">
        <v>8</v>
      </c>
      <c r="H7" s="64">
        <v>32</v>
      </c>
      <c r="I7" s="60"/>
      <c r="J7" s="65"/>
      <c r="K7" s="66"/>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c r="FM7" s="65"/>
      <c r="FN7" s="65"/>
      <c r="FO7" s="65"/>
      <c r="FP7" s="65"/>
      <c r="FQ7" s="65"/>
      <c r="FR7" s="65"/>
      <c r="FS7" s="65"/>
      <c r="FT7" s="65"/>
      <c r="FU7" s="65"/>
      <c r="FV7" s="65"/>
      <c r="FW7" s="65"/>
      <c r="FX7" s="65"/>
      <c r="FY7" s="65"/>
      <c r="FZ7" s="65"/>
      <c r="GA7" s="65"/>
      <c r="GB7" s="65"/>
      <c r="GC7" s="65"/>
      <c r="GD7" s="65"/>
      <c r="GE7" s="65"/>
      <c r="GF7" s="65"/>
      <c r="GG7" s="65"/>
      <c r="GH7" s="65"/>
      <c r="GI7" s="65"/>
      <c r="GJ7" s="65"/>
      <c r="GK7" s="65"/>
      <c r="GL7" s="65"/>
      <c r="GM7" s="65"/>
      <c r="GN7" s="65"/>
      <c r="GO7" s="65"/>
      <c r="GP7" s="65"/>
      <c r="GQ7" s="65"/>
      <c r="GR7" s="65"/>
      <c r="GS7" s="65"/>
      <c r="GT7" s="65"/>
      <c r="GU7" s="65"/>
      <c r="GV7" s="65"/>
      <c r="GW7" s="65"/>
      <c r="GX7" s="65"/>
      <c r="GY7" s="65"/>
      <c r="GZ7" s="65"/>
      <c r="HA7" s="65"/>
      <c r="HB7" s="65"/>
      <c r="HC7" s="65"/>
      <c r="HD7" s="65"/>
      <c r="HE7" s="65"/>
      <c r="HF7" s="65"/>
      <c r="HG7" s="65"/>
      <c r="HH7" s="65"/>
      <c r="HI7" s="65"/>
      <c r="HJ7" s="65"/>
      <c r="HK7" s="65"/>
      <c r="HL7" s="65"/>
      <c r="HM7" s="65"/>
      <c r="HN7" s="65"/>
      <c r="HO7" s="65"/>
      <c r="HP7" s="65"/>
      <c r="HQ7" s="65"/>
      <c r="HR7" s="65"/>
      <c r="HS7" s="65"/>
      <c r="HT7" s="65"/>
      <c r="HU7" s="65"/>
      <c r="HV7" s="65"/>
      <c r="HW7" s="65"/>
      <c r="HX7" s="65"/>
      <c r="HY7" s="65"/>
      <c r="HZ7" s="65"/>
      <c r="IA7" s="65"/>
      <c r="IB7" s="65"/>
      <c r="IC7" s="65"/>
      <c r="ID7" s="65"/>
      <c r="IE7" s="65"/>
      <c r="IF7" s="65"/>
      <c r="IG7" s="65"/>
      <c r="IH7" s="65"/>
      <c r="II7" s="65"/>
      <c r="IJ7" s="65"/>
      <c r="IK7" s="65"/>
      <c r="IL7" s="65"/>
      <c r="IM7" s="65"/>
      <c r="IN7" s="65"/>
      <c r="IO7" s="65"/>
      <c r="IP7" s="65"/>
    </row>
    <row r="8" spans="1:250">
      <c r="B8" s="12"/>
      <c r="C8" s="51"/>
      <c r="D8" s="52"/>
      <c r="E8" s="13"/>
      <c r="F8" s="14"/>
      <c r="G8" s="2"/>
      <c r="H8" s="2"/>
      <c r="K8" s="15"/>
    </row>
    <row r="9" spans="1:250" s="67" customFormat="1" ht="60">
      <c r="A9" s="60"/>
      <c r="B9" s="56">
        <v>3</v>
      </c>
      <c r="C9" s="57" t="s">
        <v>33</v>
      </c>
      <c r="D9" s="68" t="s">
        <v>34</v>
      </c>
      <c r="E9" s="62"/>
      <c r="F9" s="63">
        <f>SUM(G9,H9)</f>
        <v>48</v>
      </c>
      <c r="G9" s="64">
        <v>0</v>
      </c>
      <c r="H9" s="64">
        <v>48</v>
      </c>
      <c r="I9" s="60"/>
      <c r="J9" s="65"/>
      <c r="K9" s="66"/>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c r="FO9" s="65"/>
      <c r="FP9" s="65"/>
      <c r="FQ9" s="65"/>
      <c r="FR9" s="65"/>
      <c r="FS9" s="65"/>
      <c r="FT9" s="65"/>
      <c r="FU9" s="65"/>
      <c r="FV9" s="65"/>
      <c r="FW9" s="65"/>
      <c r="FX9" s="65"/>
      <c r="FY9" s="65"/>
      <c r="FZ9" s="65"/>
      <c r="GA9" s="65"/>
      <c r="GB9" s="65"/>
      <c r="GC9" s="65"/>
      <c r="GD9" s="65"/>
      <c r="GE9" s="65"/>
      <c r="GF9" s="65"/>
      <c r="GG9" s="65"/>
      <c r="GH9" s="65"/>
      <c r="GI9" s="65"/>
      <c r="GJ9" s="65"/>
      <c r="GK9" s="65"/>
      <c r="GL9" s="65"/>
      <c r="GM9" s="65"/>
      <c r="GN9" s="65"/>
      <c r="GO9" s="65"/>
      <c r="GP9" s="65"/>
      <c r="GQ9" s="65"/>
      <c r="GR9" s="65"/>
      <c r="GS9" s="65"/>
      <c r="GT9" s="65"/>
      <c r="GU9" s="65"/>
      <c r="GV9" s="65"/>
      <c r="GW9" s="65"/>
      <c r="GX9" s="65"/>
      <c r="GY9" s="65"/>
      <c r="GZ9" s="65"/>
      <c r="HA9" s="65"/>
      <c r="HB9" s="65"/>
      <c r="HC9" s="65"/>
      <c r="HD9" s="65"/>
      <c r="HE9" s="65"/>
      <c r="HF9" s="65"/>
      <c r="HG9" s="65"/>
      <c r="HH9" s="65"/>
      <c r="HI9" s="65"/>
      <c r="HJ9" s="65"/>
      <c r="HK9" s="65"/>
      <c r="HL9" s="65"/>
      <c r="HM9" s="65"/>
      <c r="HN9" s="65"/>
      <c r="HO9" s="65"/>
      <c r="HP9" s="65"/>
      <c r="HQ9" s="65"/>
      <c r="HR9" s="65"/>
      <c r="HS9" s="65"/>
      <c r="HT9" s="65"/>
      <c r="HU9" s="65"/>
      <c r="HV9" s="65"/>
      <c r="HW9" s="65"/>
      <c r="HX9" s="65"/>
      <c r="HY9" s="65"/>
      <c r="HZ9" s="65"/>
      <c r="IA9" s="65"/>
      <c r="IB9" s="65"/>
      <c r="IC9" s="65"/>
      <c r="ID9" s="65"/>
      <c r="IE9" s="65"/>
      <c r="IF9" s="65"/>
      <c r="IG9" s="65"/>
      <c r="IH9" s="65"/>
      <c r="II9" s="65"/>
      <c r="IJ9" s="65"/>
      <c r="IK9" s="65"/>
      <c r="IL9" s="65"/>
      <c r="IM9" s="65"/>
      <c r="IN9" s="65"/>
      <c r="IO9" s="65"/>
      <c r="IP9" s="65"/>
    </row>
    <row r="10" spans="1:250">
      <c r="B10" s="12"/>
      <c r="D10" s="52"/>
      <c r="E10" s="13"/>
      <c r="F10" s="14"/>
      <c r="G10" s="2"/>
      <c r="H10" s="2"/>
      <c r="K10" s="15"/>
    </row>
    <row r="11" spans="1:250" ht="60">
      <c r="B11" s="56">
        <v>4</v>
      </c>
      <c r="C11" s="54" t="s">
        <v>35</v>
      </c>
      <c r="D11" s="68" t="s">
        <v>36</v>
      </c>
      <c r="E11" s="13"/>
      <c r="F11" s="63">
        <f>SUM(G11,H11)</f>
        <v>40</v>
      </c>
      <c r="G11" s="2">
        <v>8</v>
      </c>
      <c r="H11" s="2">
        <v>32</v>
      </c>
      <c r="K11" s="15"/>
    </row>
    <row r="12" spans="1:250">
      <c r="B12" s="12"/>
      <c r="C12" s="51"/>
      <c r="D12" s="52"/>
      <c r="E12" s="13"/>
      <c r="F12" s="14"/>
      <c r="G12" s="2"/>
      <c r="H12" s="2"/>
      <c r="K12" s="15"/>
    </row>
    <row r="13" spans="1:250">
      <c r="B13" s="12">
        <v>5</v>
      </c>
      <c r="C13" s="97" t="s">
        <v>37</v>
      </c>
      <c r="D13" s="52" t="s">
        <v>38</v>
      </c>
      <c r="E13" s="13"/>
      <c r="F13" s="14">
        <f t="shared" ref="F13:F20" si="0">SUM(G13:H13)</f>
        <v>16</v>
      </c>
      <c r="G13" s="2">
        <v>8</v>
      </c>
      <c r="H13" s="2">
        <v>8</v>
      </c>
      <c r="K13" s="15"/>
    </row>
    <row r="14" spans="1:250">
      <c r="B14" s="50"/>
      <c r="C14" s="98"/>
      <c r="D14" s="52" t="s">
        <v>39</v>
      </c>
      <c r="E14" s="13"/>
      <c r="F14" s="14">
        <f t="shared" si="0"/>
        <v>8</v>
      </c>
      <c r="G14" s="2">
        <v>4</v>
      </c>
      <c r="H14" s="2">
        <v>4</v>
      </c>
      <c r="K14" s="15"/>
    </row>
    <row r="15" spans="1:250">
      <c r="B15" s="50"/>
      <c r="C15" s="98"/>
      <c r="D15" s="52" t="s">
        <v>40</v>
      </c>
      <c r="E15" s="13"/>
      <c r="F15" s="14">
        <f t="shared" si="0"/>
        <v>24</v>
      </c>
      <c r="G15" s="2"/>
      <c r="H15" s="2">
        <v>24</v>
      </c>
      <c r="K15" s="15"/>
    </row>
    <row r="16" spans="1:250">
      <c r="B16" s="50"/>
      <c r="C16" s="98"/>
      <c r="D16" s="52" t="s">
        <v>41</v>
      </c>
      <c r="E16" s="13"/>
      <c r="F16" s="14">
        <f t="shared" si="0"/>
        <v>16</v>
      </c>
      <c r="G16" s="2">
        <v>16</v>
      </c>
      <c r="H16" s="2"/>
      <c r="K16" s="15"/>
    </row>
    <row r="17" spans="2:11">
      <c r="B17" s="50"/>
      <c r="C17" s="98"/>
      <c r="D17" s="52" t="s">
        <v>42</v>
      </c>
      <c r="E17" s="13"/>
      <c r="F17" s="14">
        <f t="shared" si="0"/>
        <v>4</v>
      </c>
      <c r="G17" s="2">
        <v>4</v>
      </c>
      <c r="H17" s="2"/>
      <c r="K17" s="15"/>
    </row>
    <row r="18" spans="2:11" ht="90">
      <c r="B18" s="50"/>
      <c r="C18" s="98"/>
      <c r="D18" s="52" t="s">
        <v>44</v>
      </c>
      <c r="E18" s="13"/>
      <c r="F18" s="14">
        <f t="shared" si="0"/>
        <v>40</v>
      </c>
      <c r="G18" s="2">
        <v>16</v>
      </c>
      <c r="H18" s="2">
        <v>24</v>
      </c>
      <c r="K18" s="15"/>
    </row>
    <row r="19" spans="2:11" ht="90">
      <c r="B19" s="50"/>
      <c r="C19" s="98"/>
      <c r="D19" s="52" t="s">
        <v>45</v>
      </c>
      <c r="E19" s="13"/>
      <c r="F19" s="14">
        <f t="shared" si="0"/>
        <v>36</v>
      </c>
      <c r="G19" s="2">
        <v>16</v>
      </c>
      <c r="H19" s="2">
        <v>20</v>
      </c>
      <c r="K19" s="15"/>
    </row>
    <row r="20" spans="2:11" ht="30">
      <c r="B20" s="50"/>
      <c r="C20" s="99"/>
      <c r="D20" s="69" t="s">
        <v>43</v>
      </c>
      <c r="E20" s="13"/>
      <c r="F20" s="14">
        <f t="shared" si="0"/>
        <v>16</v>
      </c>
      <c r="G20" s="2"/>
      <c r="H20" s="2">
        <v>16</v>
      </c>
      <c r="K20" s="15"/>
    </row>
    <row r="21" spans="2:11">
      <c r="B21" s="50"/>
      <c r="C21" s="49"/>
      <c r="D21" s="69"/>
      <c r="E21" s="13"/>
      <c r="F21" s="14"/>
      <c r="G21" s="2"/>
      <c r="H21" s="2"/>
      <c r="K21" s="15"/>
    </row>
    <row r="22" spans="2:11">
      <c r="B22" s="50">
        <v>6</v>
      </c>
      <c r="C22" s="94" t="s">
        <v>46</v>
      </c>
      <c r="D22" s="69" t="s">
        <v>48</v>
      </c>
      <c r="E22" s="13"/>
      <c r="F22" s="14">
        <f>SUM(G22:H22)</f>
        <v>8</v>
      </c>
      <c r="G22" s="2">
        <v>4</v>
      </c>
      <c r="H22" s="2">
        <v>4</v>
      </c>
      <c r="K22" s="15"/>
    </row>
    <row r="23" spans="2:11" ht="30">
      <c r="B23" s="50"/>
      <c r="C23" s="95"/>
      <c r="D23" s="69" t="s">
        <v>49</v>
      </c>
      <c r="E23" s="13"/>
      <c r="F23" s="14">
        <f>SUM(G23:H23)</f>
        <v>48</v>
      </c>
      <c r="G23" s="2">
        <v>16</v>
      </c>
      <c r="H23" s="2">
        <v>32</v>
      </c>
      <c r="K23" s="15"/>
    </row>
    <row r="24" spans="2:11">
      <c r="B24" s="50"/>
      <c r="C24" s="96"/>
      <c r="D24" s="69" t="s">
        <v>47</v>
      </c>
      <c r="E24" s="13"/>
      <c r="F24" s="14">
        <f>SUM(G24:H24)</f>
        <v>24</v>
      </c>
      <c r="G24" s="2">
        <v>16</v>
      </c>
      <c r="H24" s="2">
        <v>8</v>
      </c>
      <c r="K24" s="15"/>
    </row>
    <row r="25" spans="2:11">
      <c r="B25" s="50"/>
      <c r="C25" s="49"/>
      <c r="D25" s="52"/>
      <c r="E25" s="13"/>
      <c r="F25" s="14"/>
      <c r="G25" s="2"/>
      <c r="H25" s="2"/>
      <c r="K25" s="15"/>
    </row>
    <row r="26" spans="2:11" ht="60">
      <c r="B26" s="50">
        <v>7</v>
      </c>
      <c r="C26" s="55" t="s">
        <v>50</v>
      </c>
      <c r="D26" s="69" t="s">
        <v>51</v>
      </c>
      <c r="E26" s="13"/>
      <c r="F26" s="14">
        <f>SUM(G26:H26)</f>
        <v>16</v>
      </c>
      <c r="G26" s="2">
        <v>8</v>
      </c>
      <c r="H26" s="2">
        <v>8</v>
      </c>
      <c r="K26" s="15"/>
    </row>
    <row r="27" spans="2:11">
      <c r="B27" s="50"/>
      <c r="C27" s="49"/>
      <c r="D27" s="69"/>
      <c r="E27" s="13"/>
      <c r="F27" s="14"/>
      <c r="G27" s="2"/>
      <c r="H27" s="2"/>
      <c r="K27" s="15"/>
    </row>
    <row r="28" spans="2:11" ht="30">
      <c r="B28" s="50">
        <v>8</v>
      </c>
      <c r="C28" s="49" t="s">
        <v>52</v>
      </c>
      <c r="D28" s="69" t="s">
        <v>53</v>
      </c>
      <c r="E28" s="13"/>
      <c r="F28" s="14">
        <f>SUM(G28:H28)</f>
        <v>24</v>
      </c>
      <c r="G28" s="2">
        <v>0</v>
      </c>
      <c r="H28" s="2">
        <v>24</v>
      </c>
      <c r="K28" s="15"/>
    </row>
    <row r="29" spans="2:11">
      <c r="B29" s="50"/>
      <c r="C29" s="49"/>
      <c r="D29" s="69"/>
      <c r="E29" s="13"/>
      <c r="F29" s="14"/>
      <c r="G29" s="2"/>
      <c r="H29" s="2"/>
      <c r="K29" s="15"/>
    </row>
    <row r="30" spans="2:11">
      <c r="B30" s="50">
        <v>9</v>
      </c>
      <c r="C30" s="49" t="s">
        <v>54</v>
      </c>
      <c r="D30" s="69" t="s">
        <v>55</v>
      </c>
      <c r="E30" s="13"/>
      <c r="F30" s="14">
        <f>SUM(G30:H30)</f>
        <v>24</v>
      </c>
      <c r="G30" s="2">
        <v>24</v>
      </c>
      <c r="H30" s="2">
        <v>0</v>
      </c>
      <c r="K30" s="15"/>
    </row>
    <row r="31" spans="2:11">
      <c r="B31" s="50"/>
      <c r="C31" s="49"/>
      <c r="D31" s="69"/>
      <c r="E31" s="13"/>
      <c r="F31" s="14"/>
      <c r="G31" s="2"/>
      <c r="H31" s="2"/>
      <c r="K31" s="15"/>
    </row>
    <row r="32" spans="2:11" ht="60">
      <c r="B32" s="50">
        <v>10</v>
      </c>
      <c r="C32" s="55" t="s">
        <v>56</v>
      </c>
      <c r="D32" s="69" t="s">
        <v>57</v>
      </c>
      <c r="E32" s="13"/>
      <c r="F32" s="14">
        <f>SUM(G32:H32)</f>
        <v>32</v>
      </c>
      <c r="G32" s="2">
        <v>8</v>
      </c>
      <c r="H32" s="2">
        <v>24</v>
      </c>
      <c r="K32" s="15"/>
    </row>
    <row r="33" spans="2:11">
      <c r="B33" s="50"/>
      <c r="C33" s="49"/>
      <c r="D33" s="69"/>
      <c r="E33" s="13"/>
      <c r="F33" s="14"/>
      <c r="G33" s="2"/>
      <c r="H33" s="2"/>
      <c r="K33" s="15"/>
    </row>
    <row r="34" spans="2:11">
      <c r="B34" s="50">
        <v>11</v>
      </c>
      <c r="C34" s="97" t="s">
        <v>58</v>
      </c>
      <c r="D34" s="69" t="s">
        <v>60</v>
      </c>
      <c r="E34" s="13"/>
      <c r="F34" s="14">
        <f>SUM(G34:H34)</f>
        <v>4</v>
      </c>
      <c r="G34" s="2">
        <v>4</v>
      </c>
      <c r="H34" s="2">
        <v>0</v>
      </c>
      <c r="K34" s="15"/>
    </row>
    <row r="35" spans="2:11">
      <c r="B35" s="50"/>
      <c r="C35" s="98"/>
      <c r="D35" s="69" t="s">
        <v>61</v>
      </c>
      <c r="E35" s="13"/>
      <c r="F35" s="14">
        <f>SUM(G35:H35)</f>
        <v>8</v>
      </c>
      <c r="G35" s="2">
        <v>4</v>
      </c>
      <c r="H35" s="2">
        <v>4</v>
      </c>
      <c r="K35" s="15"/>
    </row>
    <row r="36" spans="2:11">
      <c r="C36" s="98"/>
      <c r="D36" s="69" t="s">
        <v>91</v>
      </c>
      <c r="E36" s="13"/>
      <c r="F36" s="14">
        <f>SUM(G36:H36)</f>
        <v>48</v>
      </c>
      <c r="G36" s="2">
        <v>24</v>
      </c>
      <c r="H36" s="2">
        <v>24</v>
      </c>
      <c r="K36" s="15"/>
    </row>
    <row r="37" spans="2:11">
      <c r="B37" s="50"/>
      <c r="C37" s="98"/>
      <c r="D37" s="69" t="s">
        <v>92</v>
      </c>
      <c r="E37" s="13"/>
      <c r="F37" s="14">
        <f>SUM(G37:H37)</f>
        <v>40</v>
      </c>
      <c r="G37" s="2">
        <v>16</v>
      </c>
      <c r="H37" s="2">
        <v>24</v>
      </c>
      <c r="K37" s="15"/>
    </row>
    <row r="38" spans="2:11">
      <c r="B38" s="50"/>
      <c r="C38" s="99"/>
      <c r="D38" s="69" t="s">
        <v>93</v>
      </c>
      <c r="E38" s="13"/>
      <c r="F38" s="14">
        <f>SUM(G38:H38)</f>
        <v>56</v>
      </c>
      <c r="G38" s="2">
        <v>32</v>
      </c>
      <c r="H38" s="2">
        <v>24</v>
      </c>
      <c r="K38" s="15"/>
    </row>
    <row r="39" spans="2:11">
      <c r="B39" s="50"/>
      <c r="C39" s="49"/>
      <c r="D39" s="69"/>
      <c r="E39" s="13"/>
      <c r="F39" s="14"/>
      <c r="G39" s="2"/>
      <c r="H39" s="2"/>
      <c r="K39" s="15"/>
    </row>
    <row r="40" spans="2:11">
      <c r="B40" s="50">
        <v>12</v>
      </c>
      <c r="C40" s="97" t="s">
        <v>59</v>
      </c>
      <c r="D40" s="69" t="s">
        <v>62</v>
      </c>
      <c r="E40" s="13"/>
      <c r="F40" s="14">
        <f t="shared" ref="F40:F57" si="1">SUM(G40:H40)</f>
        <v>8</v>
      </c>
      <c r="G40" s="2">
        <v>4</v>
      </c>
      <c r="H40" s="2">
        <v>4</v>
      </c>
      <c r="K40" s="15"/>
    </row>
    <row r="41" spans="2:11">
      <c r="B41" s="50"/>
      <c r="C41" s="98"/>
      <c r="D41" s="69" t="s">
        <v>63</v>
      </c>
      <c r="E41" s="13"/>
      <c r="F41" s="14">
        <f t="shared" si="1"/>
        <v>16</v>
      </c>
      <c r="G41" s="2">
        <v>8</v>
      </c>
      <c r="H41" s="2">
        <v>8</v>
      </c>
      <c r="K41" s="15"/>
    </row>
    <row r="42" spans="2:11">
      <c r="B42" s="50"/>
      <c r="C42" s="98"/>
      <c r="D42" s="69" t="s">
        <v>64</v>
      </c>
      <c r="E42" s="13"/>
      <c r="F42" s="14">
        <f t="shared" si="1"/>
        <v>16</v>
      </c>
      <c r="G42" s="2">
        <v>0</v>
      </c>
      <c r="H42" s="2">
        <v>16</v>
      </c>
      <c r="K42" s="15"/>
    </row>
    <row r="43" spans="2:11">
      <c r="B43" s="50"/>
      <c r="C43" s="98"/>
      <c r="D43" s="69" t="s">
        <v>65</v>
      </c>
      <c r="E43" s="13"/>
      <c r="F43" s="14">
        <f t="shared" si="1"/>
        <v>16</v>
      </c>
      <c r="G43" s="2">
        <v>0</v>
      </c>
      <c r="H43" s="2">
        <v>16</v>
      </c>
      <c r="K43" s="15"/>
    </row>
    <row r="44" spans="2:11">
      <c r="B44" s="50"/>
      <c r="C44" s="98"/>
      <c r="D44" s="69" t="s">
        <v>66</v>
      </c>
      <c r="E44" s="13"/>
      <c r="F44" s="14">
        <f t="shared" si="1"/>
        <v>4</v>
      </c>
      <c r="G44" s="2">
        <v>0</v>
      </c>
      <c r="H44" s="2">
        <v>4</v>
      </c>
      <c r="K44" s="15"/>
    </row>
    <row r="45" spans="2:11">
      <c r="B45" s="50"/>
      <c r="C45" s="98"/>
      <c r="D45" s="69" t="s">
        <v>67</v>
      </c>
      <c r="E45" s="13"/>
      <c r="F45" s="14">
        <f t="shared" si="1"/>
        <v>4</v>
      </c>
      <c r="G45" s="2">
        <v>0</v>
      </c>
      <c r="H45" s="2">
        <v>4</v>
      </c>
      <c r="K45" s="15"/>
    </row>
    <row r="46" spans="2:11" ht="105">
      <c r="B46" s="50"/>
      <c r="C46" s="98"/>
      <c r="D46" s="69" t="s">
        <v>68</v>
      </c>
      <c r="E46" s="13"/>
      <c r="F46" s="14">
        <f t="shared" si="1"/>
        <v>24</v>
      </c>
      <c r="G46" s="2">
        <v>16</v>
      </c>
      <c r="H46" s="2">
        <v>8</v>
      </c>
      <c r="K46" s="15"/>
    </row>
    <row r="47" spans="2:11">
      <c r="B47" s="50"/>
      <c r="C47" s="98"/>
      <c r="D47" s="69" t="s">
        <v>69</v>
      </c>
      <c r="E47" s="13"/>
      <c r="F47" s="14">
        <f t="shared" si="1"/>
        <v>52</v>
      </c>
      <c r="G47" s="2">
        <v>20</v>
      </c>
      <c r="H47" s="2">
        <v>32</v>
      </c>
      <c r="K47" s="15"/>
    </row>
    <row r="48" spans="2:11" ht="75">
      <c r="B48" s="50"/>
      <c r="C48" s="98"/>
      <c r="D48" s="69" t="s">
        <v>70</v>
      </c>
      <c r="E48" s="13"/>
      <c r="F48" s="14">
        <f t="shared" si="1"/>
        <v>16</v>
      </c>
      <c r="G48" s="2">
        <v>4</v>
      </c>
      <c r="H48" s="2">
        <v>12</v>
      </c>
      <c r="K48" s="15"/>
    </row>
    <row r="49" spans="2:11" ht="165">
      <c r="B49" s="50"/>
      <c r="C49" s="98"/>
      <c r="D49" s="69" t="s">
        <v>71</v>
      </c>
      <c r="E49" s="13"/>
      <c r="F49" s="14">
        <f t="shared" si="1"/>
        <v>32</v>
      </c>
      <c r="G49" s="2">
        <v>12</v>
      </c>
      <c r="H49" s="2">
        <v>20</v>
      </c>
      <c r="K49" s="15"/>
    </row>
    <row r="50" spans="2:11" ht="255">
      <c r="B50" s="50"/>
      <c r="C50" s="98"/>
      <c r="D50" s="69" t="s">
        <v>72</v>
      </c>
      <c r="E50" s="13"/>
      <c r="F50" s="14">
        <f t="shared" si="1"/>
        <v>16</v>
      </c>
      <c r="G50" s="2">
        <v>8</v>
      </c>
      <c r="H50" s="2">
        <v>8</v>
      </c>
      <c r="K50" s="15"/>
    </row>
    <row r="51" spans="2:11">
      <c r="B51" s="50"/>
      <c r="C51" s="98"/>
      <c r="D51" s="69" t="s">
        <v>73</v>
      </c>
      <c r="E51" s="13"/>
      <c r="F51" s="14">
        <f t="shared" si="1"/>
        <v>8</v>
      </c>
      <c r="G51" s="2">
        <v>0</v>
      </c>
      <c r="H51" s="2">
        <v>8</v>
      </c>
      <c r="K51" s="15"/>
    </row>
    <row r="52" spans="2:11">
      <c r="B52" s="50"/>
      <c r="C52" s="98"/>
      <c r="D52" s="69" t="s">
        <v>74</v>
      </c>
      <c r="E52" s="13"/>
      <c r="F52" s="14">
        <f t="shared" si="1"/>
        <v>8</v>
      </c>
      <c r="G52" s="2">
        <v>0</v>
      </c>
      <c r="H52" s="2">
        <v>8</v>
      </c>
      <c r="K52" s="15"/>
    </row>
    <row r="53" spans="2:11">
      <c r="B53" s="50"/>
      <c r="C53" s="98"/>
      <c r="D53" s="69" t="s">
        <v>75</v>
      </c>
      <c r="E53" s="13"/>
      <c r="F53" s="14">
        <f t="shared" si="1"/>
        <v>32</v>
      </c>
      <c r="G53" s="2">
        <v>16</v>
      </c>
      <c r="H53" s="2">
        <v>16</v>
      </c>
      <c r="K53" s="15"/>
    </row>
    <row r="54" spans="2:11">
      <c r="B54" s="50"/>
      <c r="C54" s="98"/>
      <c r="D54" s="69" t="s">
        <v>76</v>
      </c>
      <c r="E54" s="13"/>
      <c r="F54" s="14">
        <f t="shared" si="1"/>
        <v>10</v>
      </c>
      <c r="G54" s="2">
        <v>2</v>
      </c>
      <c r="H54" s="2">
        <v>8</v>
      </c>
      <c r="K54" s="15"/>
    </row>
    <row r="55" spans="2:11">
      <c r="B55" s="50"/>
      <c r="C55" s="98"/>
      <c r="D55" s="69" t="s">
        <v>77</v>
      </c>
      <c r="E55" s="13"/>
      <c r="F55" s="14">
        <f t="shared" si="1"/>
        <v>6</v>
      </c>
      <c r="G55" s="2">
        <v>2</v>
      </c>
      <c r="H55" s="2">
        <v>4</v>
      </c>
      <c r="K55" s="15"/>
    </row>
    <row r="56" spans="2:11">
      <c r="C56" s="98"/>
      <c r="D56" s="52" t="s">
        <v>78</v>
      </c>
      <c r="F56" s="14">
        <f t="shared" si="1"/>
        <v>6</v>
      </c>
      <c r="G56" s="2">
        <v>2</v>
      </c>
      <c r="H56" s="2">
        <v>4</v>
      </c>
      <c r="K56" s="15"/>
    </row>
    <row r="57" spans="2:11">
      <c r="C57" s="99"/>
      <c r="D57" s="52" t="s">
        <v>79</v>
      </c>
      <c r="F57" s="14">
        <f t="shared" si="1"/>
        <v>20</v>
      </c>
      <c r="G57" s="2">
        <v>4</v>
      </c>
      <c r="H57" s="2">
        <v>16</v>
      </c>
      <c r="K57" s="15"/>
    </row>
    <row r="58" spans="2:11">
      <c r="D58" s="52"/>
      <c r="F58" s="14"/>
      <c r="G58" s="2"/>
      <c r="H58" s="2"/>
      <c r="K58" s="15"/>
    </row>
    <row r="59" spans="2:11">
      <c r="B59" s="50">
        <v>13</v>
      </c>
      <c r="C59" s="91" t="s">
        <v>80</v>
      </c>
      <c r="D59" s="69" t="s">
        <v>104</v>
      </c>
      <c r="F59" s="14">
        <f t="shared" ref="F59:F78" si="2">SUM(G59:H59)</f>
        <v>8</v>
      </c>
      <c r="G59" s="2">
        <v>4</v>
      </c>
      <c r="H59" s="2">
        <v>4</v>
      </c>
      <c r="K59" s="15"/>
    </row>
    <row r="60" spans="2:11">
      <c r="B60" s="50"/>
      <c r="C60" s="92"/>
      <c r="D60" s="69" t="s">
        <v>117</v>
      </c>
      <c r="F60" s="14">
        <f t="shared" si="2"/>
        <v>4</v>
      </c>
      <c r="G60" s="2">
        <v>2</v>
      </c>
      <c r="H60" s="2">
        <v>2</v>
      </c>
      <c r="K60" s="15"/>
    </row>
    <row r="61" spans="2:11" ht="90">
      <c r="B61" s="50"/>
      <c r="C61" s="92"/>
      <c r="D61" s="69" t="s">
        <v>105</v>
      </c>
      <c r="F61" s="14">
        <f t="shared" si="2"/>
        <v>40</v>
      </c>
      <c r="G61" s="2">
        <v>16</v>
      </c>
      <c r="H61" s="2">
        <v>24</v>
      </c>
      <c r="K61" s="15"/>
    </row>
    <row r="62" spans="2:11">
      <c r="B62" s="50"/>
      <c r="C62" s="92"/>
      <c r="D62" s="69" t="s">
        <v>110</v>
      </c>
      <c r="F62" s="14">
        <f t="shared" si="2"/>
        <v>16</v>
      </c>
      <c r="G62" s="2">
        <v>0</v>
      </c>
      <c r="H62" s="2">
        <v>16</v>
      </c>
      <c r="K62" s="15"/>
    </row>
    <row r="63" spans="2:11">
      <c r="B63" s="50"/>
      <c r="C63" s="92"/>
      <c r="D63" s="69" t="s">
        <v>106</v>
      </c>
      <c r="F63" s="14">
        <f t="shared" si="2"/>
        <v>0</v>
      </c>
      <c r="G63" s="2">
        <v>0</v>
      </c>
      <c r="H63" s="2">
        <v>0</v>
      </c>
      <c r="K63" s="15"/>
    </row>
    <row r="64" spans="2:11" ht="30">
      <c r="B64" s="50"/>
      <c r="C64" s="92"/>
      <c r="D64" s="69" t="s">
        <v>108</v>
      </c>
      <c r="F64" s="14">
        <f t="shared" si="2"/>
        <v>8</v>
      </c>
      <c r="G64" s="2">
        <v>8</v>
      </c>
      <c r="H64" s="2">
        <v>0</v>
      </c>
      <c r="K64" s="15"/>
    </row>
    <row r="65" spans="2:11">
      <c r="B65" s="50"/>
      <c r="C65" s="92"/>
      <c r="D65" s="69" t="s">
        <v>109</v>
      </c>
      <c r="F65" s="14">
        <f t="shared" si="2"/>
        <v>24</v>
      </c>
      <c r="G65" s="2">
        <v>8</v>
      </c>
      <c r="H65" s="2">
        <v>16</v>
      </c>
      <c r="K65" s="15"/>
    </row>
    <row r="66" spans="2:11">
      <c r="B66" s="50"/>
      <c r="C66" s="92"/>
      <c r="D66" s="69" t="s">
        <v>107</v>
      </c>
      <c r="F66" s="14">
        <f t="shared" si="2"/>
        <v>8</v>
      </c>
      <c r="G66" s="2">
        <v>0</v>
      </c>
      <c r="H66" s="2">
        <v>8</v>
      </c>
      <c r="K66" s="15"/>
    </row>
    <row r="67" spans="2:11">
      <c r="B67" s="50"/>
      <c r="C67" s="92"/>
      <c r="D67" s="69" t="s">
        <v>123</v>
      </c>
      <c r="F67" s="14">
        <f t="shared" si="2"/>
        <v>16</v>
      </c>
      <c r="G67" s="2">
        <v>8</v>
      </c>
      <c r="H67" s="2">
        <v>8</v>
      </c>
      <c r="K67" s="15"/>
    </row>
    <row r="68" spans="2:11">
      <c r="B68" s="50"/>
      <c r="C68" s="92"/>
      <c r="D68" s="69" t="s">
        <v>120</v>
      </c>
      <c r="F68" s="14">
        <f t="shared" si="2"/>
        <v>12</v>
      </c>
      <c r="G68" s="2">
        <v>4</v>
      </c>
      <c r="H68" s="2">
        <v>8</v>
      </c>
      <c r="K68" s="15"/>
    </row>
    <row r="69" spans="2:11">
      <c r="B69" s="50"/>
      <c r="C69" s="92"/>
      <c r="D69" s="69" t="s">
        <v>122</v>
      </c>
      <c r="F69" s="14">
        <f t="shared" si="2"/>
        <v>48</v>
      </c>
      <c r="G69" s="2">
        <v>8</v>
      </c>
      <c r="H69" s="2">
        <v>40</v>
      </c>
      <c r="K69" s="15"/>
    </row>
    <row r="70" spans="2:11">
      <c r="B70" s="50"/>
      <c r="C70" s="92"/>
      <c r="D70" s="69" t="s">
        <v>121</v>
      </c>
      <c r="F70" s="14">
        <f t="shared" si="2"/>
        <v>4</v>
      </c>
      <c r="G70" s="2">
        <v>2</v>
      </c>
      <c r="H70" s="2">
        <v>2</v>
      </c>
      <c r="K70" s="15"/>
    </row>
    <row r="71" spans="2:11" ht="30">
      <c r="B71" s="50"/>
      <c r="C71" s="92"/>
      <c r="D71" s="69" t="s">
        <v>111</v>
      </c>
      <c r="F71" s="14">
        <f t="shared" si="2"/>
        <v>16</v>
      </c>
      <c r="G71" s="2">
        <v>8</v>
      </c>
      <c r="H71" s="2">
        <v>8</v>
      </c>
      <c r="K71" s="15"/>
    </row>
    <row r="72" spans="2:11">
      <c r="B72" s="50"/>
      <c r="C72" s="92"/>
      <c r="D72" s="69" t="s">
        <v>112</v>
      </c>
      <c r="F72" s="14">
        <f t="shared" si="2"/>
        <v>12</v>
      </c>
      <c r="G72" s="2">
        <v>4</v>
      </c>
      <c r="H72" s="2">
        <v>8</v>
      </c>
      <c r="K72" s="15"/>
    </row>
    <row r="73" spans="2:11">
      <c r="B73" s="50"/>
      <c r="C73" s="92"/>
      <c r="D73" s="53" t="s">
        <v>113</v>
      </c>
      <c r="F73" s="14">
        <f t="shared" si="2"/>
        <v>24</v>
      </c>
      <c r="G73" s="2">
        <v>16</v>
      </c>
      <c r="H73" s="2">
        <v>8</v>
      </c>
      <c r="K73" s="15"/>
    </row>
    <row r="74" spans="2:11">
      <c r="B74" s="50"/>
      <c r="C74" s="92"/>
      <c r="D74" s="53" t="s">
        <v>115</v>
      </c>
      <c r="F74" s="14">
        <f t="shared" si="2"/>
        <v>24</v>
      </c>
      <c r="G74" s="2">
        <v>16</v>
      </c>
      <c r="H74" s="2">
        <v>8</v>
      </c>
      <c r="K74" s="15"/>
    </row>
    <row r="75" spans="2:11">
      <c r="B75" s="50"/>
      <c r="C75" s="92"/>
      <c r="D75" s="53" t="s">
        <v>114</v>
      </c>
      <c r="F75" s="14">
        <f t="shared" si="2"/>
        <v>24</v>
      </c>
      <c r="G75" s="2">
        <v>16</v>
      </c>
      <c r="H75" s="2">
        <v>8</v>
      </c>
      <c r="K75" s="15"/>
    </row>
    <row r="76" spans="2:11">
      <c r="B76" s="50"/>
      <c r="C76" s="92"/>
      <c r="D76" s="53" t="s">
        <v>116</v>
      </c>
      <c r="F76" s="14">
        <f t="shared" si="2"/>
        <v>24</v>
      </c>
      <c r="G76" s="2">
        <v>16</v>
      </c>
      <c r="H76" s="2">
        <v>8</v>
      </c>
      <c r="K76" s="15"/>
    </row>
    <row r="77" spans="2:11">
      <c r="B77" s="50"/>
      <c r="C77" s="92"/>
      <c r="D77" s="1" t="s">
        <v>118</v>
      </c>
      <c r="F77" s="14">
        <f t="shared" si="2"/>
        <v>12</v>
      </c>
      <c r="G77" s="2">
        <v>4</v>
      </c>
      <c r="H77" s="2">
        <v>8</v>
      </c>
      <c r="K77" s="15"/>
    </row>
    <row r="78" spans="2:11" ht="90">
      <c r="B78" s="50"/>
      <c r="C78" s="93"/>
      <c r="D78" s="52" t="s">
        <v>119</v>
      </c>
      <c r="F78" s="14">
        <f t="shared" si="2"/>
        <v>16</v>
      </c>
      <c r="G78" s="2">
        <v>8</v>
      </c>
      <c r="H78" s="2">
        <v>8</v>
      </c>
      <c r="K78" s="15"/>
    </row>
    <row r="79" spans="2:11">
      <c r="B79" s="50"/>
      <c r="D79" s="52"/>
      <c r="F79" s="14"/>
      <c r="G79" s="2"/>
      <c r="H79" s="2"/>
      <c r="K79" s="15"/>
    </row>
    <row r="80" spans="2:11" ht="30">
      <c r="B80" s="50">
        <v>14</v>
      </c>
      <c r="C80" s="52" t="s">
        <v>81</v>
      </c>
      <c r="D80" s="52" t="s">
        <v>82</v>
      </c>
      <c r="F80" s="14">
        <f>SUM(G80:H80)</f>
        <v>32</v>
      </c>
      <c r="G80" s="2">
        <v>8</v>
      </c>
      <c r="H80" s="2">
        <v>24</v>
      </c>
      <c r="K80" s="15"/>
    </row>
    <row r="81" spans="2:11">
      <c r="B81" s="50"/>
      <c r="D81" s="52"/>
      <c r="F81" s="14"/>
      <c r="G81" s="2"/>
      <c r="H81" s="2"/>
      <c r="K81" s="15"/>
    </row>
    <row r="82" spans="2:11" ht="30">
      <c r="B82" s="50">
        <v>15</v>
      </c>
      <c r="C82" s="52" t="s">
        <v>83</v>
      </c>
      <c r="D82" s="52" t="s">
        <v>84</v>
      </c>
      <c r="F82" s="14">
        <f>SUM(G82:H82)</f>
        <v>4</v>
      </c>
      <c r="G82" s="2"/>
      <c r="H82" s="2">
        <v>4</v>
      </c>
      <c r="K82" s="15"/>
    </row>
    <row r="83" spans="2:11">
      <c r="B83" s="50"/>
      <c r="D83" s="52"/>
      <c r="F83" s="14"/>
      <c r="G83" s="2"/>
      <c r="H83" s="2"/>
      <c r="K83" s="15"/>
    </row>
    <row r="84" spans="2:11" ht="45">
      <c r="B84" s="50">
        <v>16</v>
      </c>
      <c r="C84" s="88" t="s">
        <v>85</v>
      </c>
      <c r="D84" s="52" t="s">
        <v>98</v>
      </c>
      <c r="F84" s="14">
        <f>SUM(G84:H84)</f>
        <v>10</v>
      </c>
      <c r="G84" s="2">
        <v>10</v>
      </c>
      <c r="H84" s="2">
        <v>0</v>
      </c>
      <c r="K84" s="15"/>
    </row>
    <row r="85" spans="2:11" ht="30">
      <c r="B85" s="50"/>
      <c r="C85" s="89"/>
      <c r="D85" s="52" t="s">
        <v>99</v>
      </c>
      <c r="F85" s="14">
        <f>SUM(G85:H85)</f>
        <v>40</v>
      </c>
      <c r="G85" s="2">
        <v>0</v>
      </c>
      <c r="H85" s="2">
        <v>40</v>
      </c>
      <c r="K85" s="15"/>
    </row>
    <row r="86" spans="2:11">
      <c r="B86" s="50"/>
      <c r="C86" s="89"/>
      <c r="D86" s="52" t="s">
        <v>100</v>
      </c>
      <c r="F86" s="14">
        <f>SUM(G86:H86)</f>
        <v>8</v>
      </c>
      <c r="G86" s="2">
        <v>4</v>
      </c>
      <c r="H86" s="2">
        <v>4</v>
      </c>
      <c r="K86" s="15"/>
    </row>
    <row r="87" spans="2:11">
      <c r="B87" s="50"/>
      <c r="C87" s="89"/>
      <c r="D87" s="1" t="s">
        <v>101</v>
      </c>
      <c r="F87" s="14">
        <f>SUM(G87:H87)</f>
        <v>32</v>
      </c>
      <c r="G87" s="2">
        <v>16</v>
      </c>
      <c r="H87" s="2">
        <v>16</v>
      </c>
      <c r="K87" s="15"/>
    </row>
    <row r="88" spans="2:11">
      <c r="B88" s="50"/>
      <c r="C88" s="89"/>
      <c r="D88" s="52" t="s">
        <v>96</v>
      </c>
      <c r="F88" s="14">
        <f>SUM(G88:H88)</f>
        <v>8</v>
      </c>
      <c r="G88" s="2">
        <v>4</v>
      </c>
      <c r="H88" s="2">
        <v>4</v>
      </c>
      <c r="K88" s="15"/>
    </row>
    <row r="89" spans="2:11">
      <c r="B89" s="50"/>
      <c r="C89" s="90"/>
      <c r="D89" s="52" t="s">
        <v>97</v>
      </c>
      <c r="F89" s="14"/>
      <c r="G89" s="2"/>
      <c r="H89" s="2"/>
      <c r="K89" s="15"/>
    </row>
    <row r="90" spans="2:11">
      <c r="B90" s="50"/>
      <c r="C90" s="52"/>
      <c r="D90" s="52"/>
      <c r="F90" s="14"/>
      <c r="G90" s="2"/>
      <c r="H90" s="2"/>
      <c r="K90" s="15"/>
    </row>
    <row r="91" spans="2:11" ht="30">
      <c r="B91" s="50">
        <v>17</v>
      </c>
      <c r="C91" s="1" t="s">
        <v>86</v>
      </c>
      <c r="D91" s="52" t="s">
        <v>102</v>
      </c>
      <c r="F91" s="14">
        <f>SUM(G91:H91)</f>
        <v>80</v>
      </c>
      <c r="G91" s="2">
        <v>40</v>
      </c>
      <c r="H91" s="2">
        <v>40</v>
      </c>
      <c r="K91" s="15"/>
    </row>
    <row r="92" spans="2:11">
      <c r="B92" s="50"/>
      <c r="D92" s="52"/>
      <c r="F92" s="14"/>
      <c r="G92" s="2"/>
      <c r="H92" s="2"/>
      <c r="K92" s="15"/>
    </row>
    <row r="93" spans="2:11">
      <c r="B93" s="50">
        <v>18</v>
      </c>
      <c r="C93" s="1" t="s">
        <v>87</v>
      </c>
      <c r="D93" s="70" t="s">
        <v>88</v>
      </c>
      <c r="F93" s="14">
        <f>SUM(G93:H93)</f>
        <v>16</v>
      </c>
      <c r="G93" s="2">
        <v>8</v>
      </c>
      <c r="H93" s="2">
        <v>8</v>
      </c>
      <c r="K93" s="15"/>
    </row>
    <row r="94" spans="2:11">
      <c r="B94" s="50"/>
      <c r="D94" s="52"/>
      <c r="F94" s="14"/>
      <c r="G94" s="2"/>
      <c r="H94" s="2"/>
      <c r="K94" s="15"/>
    </row>
    <row r="95" spans="2:11">
      <c r="B95" s="50">
        <v>19</v>
      </c>
      <c r="C95" s="1" t="s">
        <v>89</v>
      </c>
      <c r="D95" s="52" t="s">
        <v>90</v>
      </c>
      <c r="F95" s="14">
        <f>SUM(G95:H95)</f>
        <v>80</v>
      </c>
      <c r="G95" s="2">
        <v>80</v>
      </c>
      <c r="H95" s="2"/>
      <c r="K95" s="15"/>
    </row>
    <row r="96" spans="2:11">
      <c r="B96" s="50"/>
      <c r="D96" s="52"/>
      <c r="F96" s="14"/>
      <c r="G96" s="2"/>
      <c r="H96" s="2"/>
      <c r="K96" s="15"/>
    </row>
    <row r="97" spans="1:250" ht="75">
      <c r="B97" s="50">
        <v>20</v>
      </c>
      <c r="C97" s="1" t="s">
        <v>94</v>
      </c>
      <c r="D97" s="52" t="s">
        <v>95</v>
      </c>
      <c r="F97" s="14">
        <f>SUM(G97:H97)</f>
        <v>16</v>
      </c>
      <c r="G97" s="2">
        <v>8</v>
      </c>
      <c r="H97" s="2">
        <v>8</v>
      </c>
      <c r="K97" s="15"/>
    </row>
    <row r="98" spans="1:250">
      <c r="B98" s="50"/>
      <c r="D98" s="52"/>
      <c r="F98" s="14"/>
      <c r="G98" s="2"/>
      <c r="H98" s="2"/>
    </row>
    <row r="99" spans="1:250">
      <c r="B99" s="50"/>
      <c r="D99" s="52"/>
      <c r="F99" s="14"/>
      <c r="G99" s="2"/>
      <c r="H99" s="2"/>
    </row>
    <row r="100" spans="1:250">
      <c r="B100" s="50"/>
      <c r="D100" s="52"/>
      <c r="F100" s="14"/>
      <c r="G100" s="2"/>
      <c r="H100" s="2"/>
      <c r="K100" s="15"/>
    </row>
    <row r="101" spans="1:250">
      <c r="B101" s="50"/>
      <c r="D101" s="52"/>
      <c r="F101" s="14"/>
      <c r="G101" s="2"/>
      <c r="H101" s="2"/>
      <c r="K101" s="15"/>
    </row>
    <row r="102" spans="1:250">
      <c r="B102" s="50"/>
      <c r="D102" s="52"/>
      <c r="F102" s="14"/>
      <c r="G102" s="2"/>
      <c r="K102" s="15"/>
    </row>
    <row r="103" spans="1:250">
      <c r="B103" s="50"/>
      <c r="D103" s="52"/>
      <c r="K103" s="15"/>
    </row>
    <row r="104" spans="1:250" s="18" customFormat="1">
      <c r="A104" s="4"/>
      <c r="B104" s="16"/>
      <c r="C104" s="16"/>
      <c r="D104" s="3"/>
      <c r="E104" s="19" t="s">
        <v>19</v>
      </c>
      <c r="F104" s="33">
        <f>SUM(G104+H104)</f>
        <v>1616</v>
      </c>
      <c r="G104" s="20">
        <f>SUM(G5:G103)</f>
        <v>672</v>
      </c>
      <c r="H104" s="20">
        <f>SUM(H5:H103)</f>
        <v>944</v>
      </c>
      <c r="I104" s="4"/>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c r="EC104" s="17"/>
      <c r="ED104" s="17"/>
      <c r="EE104" s="17"/>
      <c r="EF104" s="17"/>
      <c r="EG104" s="17"/>
      <c r="EH104" s="17"/>
      <c r="EI104" s="17"/>
      <c r="EJ104" s="17"/>
      <c r="EK104" s="17"/>
      <c r="EL104" s="17"/>
      <c r="EM104" s="17"/>
      <c r="EN104" s="17"/>
      <c r="EO104" s="17"/>
      <c r="EP104" s="17"/>
      <c r="EQ104" s="17"/>
      <c r="ER104" s="17"/>
      <c r="ES104" s="17"/>
      <c r="ET104" s="17"/>
      <c r="EU104" s="17"/>
      <c r="EV104" s="17"/>
      <c r="EW104" s="17"/>
      <c r="EX104" s="17"/>
      <c r="EY104" s="17"/>
      <c r="EZ104" s="17"/>
      <c r="FA104" s="17"/>
      <c r="FB104" s="17"/>
      <c r="FC104" s="17"/>
      <c r="FD104" s="17"/>
      <c r="FE104" s="17"/>
      <c r="FF104" s="17"/>
      <c r="FG104" s="17"/>
      <c r="FH104" s="17"/>
      <c r="FI104" s="17"/>
      <c r="FJ104" s="17"/>
      <c r="FK104" s="17"/>
      <c r="FL104" s="17"/>
      <c r="FM104" s="17"/>
      <c r="FN104" s="17"/>
      <c r="FO104" s="17"/>
      <c r="FP104" s="17"/>
      <c r="FQ104" s="17"/>
      <c r="FR104" s="17"/>
      <c r="FS104" s="17"/>
      <c r="FT104" s="17"/>
      <c r="FU104" s="17"/>
      <c r="FV104" s="17"/>
      <c r="FW104" s="17"/>
      <c r="FX104" s="17"/>
      <c r="FY104" s="17"/>
      <c r="FZ104" s="17"/>
      <c r="GA104" s="17"/>
      <c r="GB104" s="17"/>
      <c r="GC104" s="17"/>
      <c r="GD104" s="17"/>
      <c r="GE104" s="17"/>
      <c r="GF104" s="17"/>
      <c r="GG104" s="17"/>
      <c r="GH104" s="17"/>
      <c r="GI104" s="17"/>
      <c r="GJ104" s="17"/>
      <c r="GK104" s="17"/>
      <c r="GL104" s="17"/>
      <c r="GM104" s="17"/>
      <c r="GN104" s="17"/>
      <c r="GO104" s="17"/>
      <c r="GP104" s="17"/>
      <c r="GQ104" s="17"/>
      <c r="GR104" s="17"/>
      <c r="GS104" s="17"/>
      <c r="GT104" s="17"/>
      <c r="GU104" s="17"/>
      <c r="GV104" s="17"/>
      <c r="GW104" s="17"/>
      <c r="GX104" s="17"/>
      <c r="GY104" s="17"/>
      <c r="GZ104" s="17"/>
      <c r="HA104" s="17"/>
      <c r="HB104" s="17"/>
      <c r="HC104" s="17"/>
      <c r="HD104" s="17"/>
      <c r="HE104" s="17"/>
      <c r="HF104" s="17"/>
      <c r="HG104" s="17"/>
      <c r="HH104" s="17"/>
      <c r="HI104" s="17"/>
      <c r="HJ104" s="17"/>
      <c r="HK104" s="17"/>
      <c r="HL104" s="17"/>
      <c r="HM104" s="17"/>
      <c r="HN104" s="17"/>
      <c r="HO104" s="17"/>
      <c r="HP104" s="17"/>
      <c r="HQ104" s="17"/>
      <c r="HR104" s="17"/>
      <c r="HS104" s="17"/>
      <c r="HT104" s="17"/>
      <c r="HU104" s="17"/>
      <c r="HV104" s="17"/>
      <c r="HW104" s="17"/>
      <c r="HX104" s="17"/>
      <c r="HY104" s="17"/>
      <c r="HZ104" s="17"/>
      <c r="IA104" s="17"/>
      <c r="IB104" s="17"/>
      <c r="IC104" s="17"/>
      <c r="ID104" s="17"/>
      <c r="IE104" s="17"/>
      <c r="IF104" s="17"/>
      <c r="IG104" s="17"/>
      <c r="IH104" s="17"/>
      <c r="II104" s="17"/>
      <c r="IJ104" s="17"/>
      <c r="IK104" s="21"/>
      <c r="IL104" s="21"/>
      <c r="IM104" s="21"/>
      <c r="IN104" s="21"/>
      <c r="IO104" s="21"/>
      <c r="IP104" s="21"/>
    </row>
    <row r="105" spans="1:250" s="18" customFormat="1">
      <c r="A105" s="4"/>
      <c r="B105" s="4"/>
      <c r="C105" s="4"/>
      <c r="D105" s="4">
        <f>++++++++-+XEX111</f>
        <v>0</v>
      </c>
      <c r="E105" s="4"/>
      <c r="F105" s="4"/>
      <c r="G105" s="4"/>
      <c r="H105" s="4"/>
      <c r="I105" s="4"/>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c r="GK105" s="17"/>
      <c r="GL105" s="17"/>
      <c r="GM105" s="17"/>
      <c r="GN105" s="17"/>
      <c r="GO105" s="17"/>
      <c r="GP105" s="17"/>
      <c r="GQ105" s="17"/>
      <c r="GR105" s="17"/>
      <c r="GS105" s="17"/>
      <c r="GT105" s="17"/>
      <c r="GU105" s="17"/>
      <c r="GV105" s="17"/>
      <c r="GW105" s="17"/>
      <c r="GX105" s="17"/>
      <c r="GY105" s="17"/>
      <c r="GZ105" s="17"/>
      <c r="HA105" s="17"/>
      <c r="HB105" s="17"/>
      <c r="HC105" s="17"/>
      <c r="HD105" s="17"/>
      <c r="HE105" s="17"/>
      <c r="HF105" s="17"/>
      <c r="HG105" s="17"/>
      <c r="HH105" s="17"/>
      <c r="HI105" s="17"/>
      <c r="HJ105" s="17"/>
      <c r="HK105" s="17"/>
      <c r="HL105" s="17"/>
      <c r="HM105" s="17"/>
      <c r="HN105" s="17"/>
      <c r="HO105" s="17"/>
      <c r="HP105" s="17"/>
      <c r="HQ105" s="17"/>
      <c r="HR105" s="17"/>
      <c r="HS105" s="17"/>
      <c r="HT105" s="17"/>
      <c r="HU105" s="17"/>
      <c r="HV105" s="17"/>
      <c r="HW105" s="17"/>
      <c r="HX105" s="17"/>
      <c r="HY105" s="17"/>
      <c r="HZ105" s="17"/>
      <c r="IA105" s="17"/>
      <c r="IB105" s="17"/>
      <c r="IC105" s="17"/>
      <c r="ID105" s="17"/>
      <c r="IE105" s="17"/>
      <c r="IF105" s="17"/>
      <c r="IG105" s="17"/>
      <c r="IH105" s="17"/>
      <c r="II105" s="17"/>
      <c r="IJ105" s="17"/>
      <c r="IK105" s="21"/>
      <c r="IL105" s="21"/>
      <c r="IM105" s="21"/>
      <c r="IN105" s="21"/>
      <c r="IO105" s="21"/>
      <c r="IP105" s="21"/>
    </row>
    <row r="106" spans="1:250" s="17" customFormat="1">
      <c r="F106" s="39"/>
      <c r="G106" s="39"/>
      <c r="H106" s="39"/>
    </row>
    <row r="107" spans="1:250" s="17" customFormat="1">
      <c r="F107" s="39"/>
      <c r="G107" s="39"/>
      <c r="H107" s="39"/>
    </row>
    <row r="108" spans="1:250" s="17" customFormat="1">
      <c r="F108" s="39"/>
      <c r="G108" s="39"/>
      <c r="H108" s="39"/>
    </row>
    <row r="109" spans="1:250" s="17" customFormat="1">
      <c r="F109" s="39"/>
      <c r="G109" s="39"/>
      <c r="H109" s="39"/>
    </row>
    <row r="110" spans="1:250" s="17" customFormat="1">
      <c r="F110" s="39"/>
      <c r="G110" s="39"/>
      <c r="H110" s="39"/>
    </row>
    <row r="111" spans="1:250" s="17" customFormat="1">
      <c r="F111" s="39"/>
      <c r="G111" s="39"/>
      <c r="H111" s="39"/>
    </row>
    <row r="112" spans="1:250" s="17" customFormat="1">
      <c r="F112" s="39"/>
      <c r="G112" s="39"/>
      <c r="H112" s="39"/>
    </row>
    <row r="113" spans="6:8" s="17" customFormat="1">
      <c r="F113" s="39"/>
      <c r="G113" s="39"/>
      <c r="H113" s="39"/>
    </row>
    <row r="114" spans="6:8" s="17" customFormat="1">
      <c r="F114" s="39"/>
      <c r="G114" s="39"/>
      <c r="H114" s="39"/>
    </row>
    <row r="115" spans="6:8" s="17" customFormat="1">
      <c r="F115" s="39"/>
      <c r="G115" s="39"/>
      <c r="H115" s="39"/>
    </row>
    <row r="116" spans="6:8" s="17" customFormat="1">
      <c r="F116" s="39"/>
      <c r="G116" s="39"/>
      <c r="H116" s="39"/>
    </row>
    <row r="117" spans="6:8" s="17" customFormat="1">
      <c r="F117" s="39"/>
      <c r="G117" s="39"/>
      <c r="H117" s="39"/>
    </row>
    <row r="118" spans="6:8" s="17" customFormat="1">
      <c r="F118" s="39"/>
      <c r="G118" s="39"/>
      <c r="H118" s="39"/>
    </row>
    <row r="119" spans="6:8" s="17" customFormat="1">
      <c r="F119" s="39"/>
      <c r="G119" s="39"/>
      <c r="H119" s="39"/>
    </row>
    <row r="120" spans="6:8" s="17" customFormat="1">
      <c r="F120" s="39"/>
      <c r="G120" s="39"/>
      <c r="H120" s="39"/>
    </row>
    <row r="121" spans="6:8" s="17" customFormat="1">
      <c r="F121" s="39"/>
      <c r="G121" s="39"/>
      <c r="H121" s="39"/>
    </row>
    <row r="122" spans="6:8" s="17" customFormat="1">
      <c r="F122" s="39"/>
      <c r="G122" s="39"/>
      <c r="H122" s="39"/>
    </row>
    <row r="123" spans="6:8" s="17" customFormat="1">
      <c r="F123" s="39"/>
      <c r="G123" s="39"/>
      <c r="H123" s="39"/>
    </row>
    <row r="124" spans="6:8" s="17" customFormat="1">
      <c r="F124" s="39"/>
      <c r="G124" s="39"/>
      <c r="H124" s="39"/>
    </row>
    <row r="125" spans="6:8" s="17" customFormat="1">
      <c r="F125" s="39"/>
      <c r="G125" s="39"/>
      <c r="H125" s="39"/>
    </row>
    <row r="126" spans="6:8" s="17" customFormat="1">
      <c r="F126" s="39"/>
      <c r="G126" s="39"/>
      <c r="H126" s="39"/>
    </row>
    <row r="127" spans="6:8" s="17" customFormat="1">
      <c r="F127" s="39"/>
      <c r="G127" s="39"/>
      <c r="H127" s="39"/>
    </row>
    <row r="128" spans="6:8" s="17" customFormat="1">
      <c r="F128" s="39"/>
      <c r="G128" s="39"/>
      <c r="H128" s="39"/>
    </row>
    <row r="129" spans="6:8" s="17" customFormat="1">
      <c r="F129" s="39"/>
      <c r="G129" s="39"/>
      <c r="H129" s="39"/>
    </row>
    <row r="130" spans="6:8" s="17" customFormat="1">
      <c r="F130" s="39"/>
      <c r="G130" s="39"/>
      <c r="H130" s="39"/>
    </row>
    <row r="131" spans="6:8" s="17" customFormat="1">
      <c r="F131" s="39"/>
      <c r="G131" s="39"/>
      <c r="H131" s="39"/>
    </row>
    <row r="132" spans="6:8" s="17" customFormat="1">
      <c r="F132" s="39"/>
      <c r="G132" s="39"/>
      <c r="H132" s="39"/>
    </row>
    <row r="133" spans="6:8" s="17" customFormat="1">
      <c r="F133" s="39"/>
      <c r="G133" s="39"/>
      <c r="H133" s="39"/>
    </row>
    <row r="134" spans="6:8" s="17" customFormat="1">
      <c r="F134" s="39"/>
      <c r="G134" s="39"/>
      <c r="H134" s="39"/>
    </row>
    <row r="135" spans="6:8" s="17" customFormat="1">
      <c r="F135" s="39"/>
      <c r="G135" s="39"/>
      <c r="H135" s="39"/>
    </row>
    <row r="136" spans="6:8" s="17" customFormat="1">
      <c r="F136" s="39"/>
      <c r="G136" s="39"/>
      <c r="H136" s="39"/>
    </row>
    <row r="137" spans="6:8" s="17" customFormat="1">
      <c r="F137" s="39"/>
      <c r="G137" s="39"/>
      <c r="H137" s="39"/>
    </row>
    <row r="138" spans="6:8" s="17" customFormat="1">
      <c r="F138" s="39"/>
      <c r="G138" s="39"/>
      <c r="H138" s="39"/>
    </row>
    <row r="139" spans="6:8" s="17" customFormat="1">
      <c r="F139" s="39"/>
      <c r="G139" s="39"/>
      <c r="H139" s="39"/>
    </row>
    <row r="140" spans="6:8" s="17" customFormat="1">
      <c r="F140" s="39"/>
      <c r="G140" s="39"/>
      <c r="H140" s="39"/>
    </row>
    <row r="141" spans="6:8" s="17" customFormat="1">
      <c r="F141" s="39"/>
      <c r="G141" s="39"/>
      <c r="H141" s="39"/>
    </row>
    <row r="142" spans="6:8" s="17" customFormat="1">
      <c r="F142" s="39"/>
      <c r="G142" s="39"/>
      <c r="H142" s="39"/>
    </row>
    <row r="143" spans="6:8" s="17" customFormat="1">
      <c r="F143" s="39"/>
      <c r="G143" s="39"/>
      <c r="H143" s="39"/>
    </row>
    <row r="144" spans="6:8" s="17" customFormat="1">
      <c r="F144" s="39"/>
      <c r="G144" s="39"/>
      <c r="H144" s="39"/>
    </row>
    <row r="145" spans="6:8" s="17" customFormat="1">
      <c r="F145" s="39"/>
      <c r="G145" s="39"/>
      <c r="H145" s="39"/>
    </row>
    <row r="146" spans="6:8" s="17" customFormat="1">
      <c r="F146" s="39"/>
      <c r="G146" s="39"/>
      <c r="H146" s="39"/>
    </row>
    <row r="147" spans="6:8" s="17" customFormat="1">
      <c r="F147" s="39"/>
      <c r="G147" s="39"/>
      <c r="H147" s="39"/>
    </row>
    <row r="148" spans="6:8" s="17" customFormat="1">
      <c r="F148" s="39"/>
      <c r="G148" s="39"/>
      <c r="H148" s="39"/>
    </row>
    <row r="149" spans="6:8" s="17" customFormat="1">
      <c r="F149" s="39"/>
      <c r="G149" s="39"/>
      <c r="H149" s="39"/>
    </row>
    <row r="150" spans="6:8" s="17" customFormat="1">
      <c r="F150" s="39"/>
      <c r="G150" s="39"/>
      <c r="H150" s="39"/>
    </row>
    <row r="151" spans="6:8" s="17" customFormat="1">
      <c r="F151" s="39"/>
      <c r="G151" s="39"/>
      <c r="H151" s="39"/>
    </row>
    <row r="152" spans="6:8" s="17" customFormat="1">
      <c r="F152" s="39"/>
      <c r="G152" s="39"/>
      <c r="H152" s="39"/>
    </row>
    <row r="153" spans="6:8" s="17" customFormat="1">
      <c r="F153" s="39"/>
      <c r="G153" s="39"/>
      <c r="H153" s="39"/>
    </row>
    <row r="154" spans="6:8" s="17" customFormat="1">
      <c r="F154" s="39"/>
      <c r="G154" s="39"/>
      <c r="H154" s="39"/>
    </row>
    <row r="155" spans="6:8" s="17" customFormat="1">
      <c r="F155" s="39"/>
      <c r="G155" s="39"/>
      <c r="H155" s="39"/>
    </row>
    <row r="156" spans="6:8" s="17" customFormat="1">
      <c r="F156" s="39"/>
      <c r="G156" s="39"/>
      <c r="H156" s="39"/>
    </row>
    <row r="157" spans="6:8" s="17" customFormat="1">
      <c r="F157" s="39"/>
      <c r="G157" s="39"/>
      <c r="H157" s="39"/>
    </row>
    <row r="158" spans="6:8" s="17" customFormat="1">
      <c r="F158" s="39"/>
      <c r="G158" s="39"/>
      <c r="H158" s="39"/>
    </row>
    <row r="159" spans="6:8" s="17" customFormat="1">
      <c r="F159" s="39"/>
      <c r="G159" s="39"/>
      <c r="H159" s="39"/>
    </row>
    <row r="160" spans="6:8" s="17" customFormat="1">
      <c r="F160" s="39"/>
      <c r="G160" s="39"/>
      <c r="H160" s="39"/>
    </row>
    <row r="161" spans="6:8" s="17" customFormat="1">
      <c r="F161" s="39"/>
      <c r="G161" s="39"/>
      <c r="H161" s="39"/>
    </row>
    <row r="162" spans="6:8" s="17" customFormat="1">
      <c r="F162" s="39"/>
      <c r="G162" s="39"/>
      <c r="H162" s="39"/>
    </row>
    <row r="163" spans="6:8" s="17" customFormat="1">
      <c r="F163" s="39"/>
      <c r="G163" s="39"/>
      <c r="H163" s="39"/>
    </row>
    <row r="164" spans="6:8" s="17" customFormat="1">
      <c r="F164" s="39"/>
      <c r="G164" s="39"/>
      <c r="H164" s="39"/>
    </row>
    <row r="165" spans="6:8" s="17" customFormat="1">
      <c r="F165" s="39"/>
      <c r="G165" s="39"/>
      <c r="H165" s="39"/>
    </row>
    <row r="166" spans="6:8" s="17" customFormat="1">
      <c r="F166" s="39"/>
      <c r="G166" s="39"/>
      <c r="H166" s="39"/>
    </row>
    <row r="167" spans="6:8" s="17" customFormat="1">
      <c r="F167" s="39"/>
      <c r="G167" s="39"/>
      <c r="H167" s="39"/>
    </row>
    <row r="168" spans="6:8" s="17" customFormat="1">
      <c r="F168" s="39"/>
      <c r="G168" s="39"/>
      <c r="H168" s="39"/>
    </row>
    <row r="169" spans="6:8" s="17" customFormat="1">
      <c r="F169" s="39"/>
      <c r="G169" s="39"/>
      <c r="H169" s="39"/>
    </row>
    <row r="170" spans="6:8" s="17" customFormat="1">
      <c r="F170" s="39"/>
      <c r="G170" s="39"/>
      <c r="H170" s="39"/>
    </row>
    <row r="171" spans="6:8" s="17" customFormat="1">
      <c r="F171" s="39"/>
      <c r="G171" s="39"/>
      <c r="H171" s="39"/>
    </row>
    <row r="172" spans="6:8" s="17" customFormat="1">
      <c r="F172" s="39"/>
      <c r="G172" s="39"/>
      <c r="H172" s="39"/>
    </row>
  </sheetData>
  <mergeCells count="13">
    <mergeCell ref="C84:C89"/>
    <mergeCell ref="C59:C78"/>
    <mergeCell ref="C22:C24"/>
    <mergeCell ref="C13:C20"/>
    <mergeCell ref="C40:C57"/>
    <mergeCell ref="C34:C38"/>
    <mergeCell ref="A1:H1"/>
    <mergeCell ref="F2:H2"/>
    <mergeCell ref="E3:E4"/>
    <mergeCell ref="F3:F4"/>
    <mergeCell ref="G3:G4"/>
    <mergeCell ref="H3:H4"/>
    <mergeCell ref="B4:D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AE75F-D550-42BA-8EBF-9EC23B70CD26}">
  <dimension ref="A1:B4"/>
  <sheetViews>
    <sheetView workbookViewId="0">
      <selection activeCell="E27" sqref="A1:XFD1048576"/>
    </sheetView>
  </sheetViews>
  <sheetFormatPr defaultColWidth="9.5703125" defaultRowHeight="15"/>
  <cols>
    <col min="1" max="1" width="6.42578125" style="5" bestFit="1" customWidth="1"/>
    <col min="2" max="2" width="78.5703125" style="42" bestFit="1" customWidth="1"/>
    <col min="3" max="16384" width="9.5703125" style="41"/>
  </cols>
  <sheetData>
    <row r="1" spans="1:2">
      <c r="A1" s="40" t="s">
        <v>17</v>
      </c>
      <c r="B1" s="43" t="s">
        <v>24</v>
      </c>
    </row>
    <row r="2" spans="1:2">
      <c r="A2" s="47">
        <v>1</v>
      </c>
      <c r="B2" s="48"/>
    </row>
    <row r="3" spans="1:2">
      <c r="A3" s="47">
        <v>2</v>
      </c>
      <c r="B3" s="48"/>
    </row>
    <row r="4" spans="1:2">
      <c r="A4" s="47"/>
      <c r="B4" s="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29DF-ACAB-4E06-AB65-D32885BB2308}">
  <dimension ref="A1:B4"/>
  <sheetViews>
    <sheetView workbookViewId="0">
      <selection activeCell="C1" sqref="C1"/>
    </sheetView>
  </sheetViews>
  <sheetFormatPr defaultColWidth="9.5703125" defaultRowHeight="15"/>
  <cols>
    <col min="1" max="1" width="6.42578125" style="5" bestFit="1" customWidth="1"/>
    <col min="2" max="2" width="78.5703125" style="42" bestFit="1" customWidth="1"/>
    <col min="3" max="16384" width="9.5703125" style="41"/>
  </cols>
  <sheetData>
    <row r="1" spans="1:2">
      <c r="A1" s="40" t="s">
        <v>17</v>
      </c>
      <c r="B1" s="43" t="s">
        <v>103</v>
      </c>
    </row>
    <row r="2" spans="1:2">
      <c r="A2" s="47">
        <v>1</v>
      </c>
      <c r="B2" s="48"/>
    </row>
    <row r="3" spans="1:2">
      <c r="A3" s="47">
        <v>2</v>
      </c>
      <c r="B3" s="48"/>
    </row>
    <row r="4" spans="1:2">
      <c r="A4" s="47"/>
      <c r="B4"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1745</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 Efforts</vt:lpstr>
      <vt:lpstr>Feature List - Web App</vt:lpstr>
      <vt:lpstr>Out Of Scope</vt:lpstr>
      <vt:lpstr>Assumptions &amp; 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aftabhusen.multani</dc:creator>
  <dc:description/>
  <cp:lastModifiedBy>Jigar Modi</cp:lastModifiedBy>
  <cp:revision>54</cp:revision>
  <dcterms:created xsi:type="dcterms:W3CDTF">2019-05-20T03:57:00Z</dcterms:created>
  <dcterms:modified xsi:type="dcterms:W3CDTF">2025-11-14T10:04:08Z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9551F116D40F4C788FB5C4C18F1B93ED</vt:lpwstr>
  </property>
  <property fmtid="{D5CDD505-2E9C-101B-9397-08002B2CF9AE}" pid="3" name="KSOProductBuildVer">
    <vt:lpwstr>1033-11.2.0.11306</vt:lpwstr>
  </property>
  <property fmtid="{D5CDD505-2E9C-101B-9397-08002B2CF9AE}" pid="4" name="KSOReadingLayout">
    <vt:bool>true</vt:bool>
  </property>
</Properties>
</file>