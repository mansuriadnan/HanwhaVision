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igarModi_SharedFolder\Hanwha\"/>
    </mc:Choice>
  </mc:AlternateContent>
  <xr:revisionPtr revIDLastSave="0" documentId="13_ncr:1_{79753565-D4AD-4EB7-B2AD-B25DE80BCE60}" xr6:coauthVersionLast="47" xr6:coauthVersionMax="47" xr10:uidLastSave="{00000000-0000-0000-0000-000000000000}"/>
  <bookViews>
    <workbookView xWindow="-120" yWindow="-120" windowWidth="29040" windowHeight="15720" tabRatio="662" activeTab="1" xr2:uid="{00000000-000D-0000-FFFF-FFFF00000000}"/>
  </bookViews>
  <sheets>
    <sheet name="Combined Efforts" sheetId="8" r:id="rId1"/>
    <sheet name="Feature List - Web App" sheetId="6" r:id="rId2"/>
    <sheet name="Out Of Scope" sheetId="10" r:id="rId3"/>
    <sheet name="Assumptions &amp; Queries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6" l="1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H28" i="6"/>
  <c r="G28" i="6"/>
  <c r="F28" i="6" l="1"/>
  <c r="D29" i="6"/>
  <c r="G2" i="8"/>
  <c r="F2" i="8"/>
  <c r="G5" i="8" l="1"/>
  <c r="F5" i="8"/>
  <c r="E2" i="8"/>
  <c r="E5" i="8" l="1"/>
  <c r="E12" i="8" l="1"/>
  <c r="E9" i="8"/>
  <c r="E13" i="8"/>
  <c r="E11" i="8"/>
  <c r="E10" i="8"/>
  <c r="E8" i="8"/>
  <c r="E7" i="8"/>
  <c r="E14" i="8" l="1"/>
  <c r="E16" i="8" s="1"/>
  <c r="E19" i="8" l="1"/>
  <c r="E18" i="8"/>
</calcChain>
</file>

<file path=xl/sharedStrings.xml><?xml version="1.0" encoding="utf-8"?>
<sst xmlns="http://schemas.openxmlformats.org/spreadsheetml/2006/main" count="57" uniqueCount="51">
  <si>
    <t>Sr No</t>
  </si>
  <si>
    <t>Features/Use Case/WBS</t>
  </si>
  <si>
    <t>% Attribution</t>
  </si>
  <si>
    <t>Combined</t>
  </si>
  <si>
    <t>Front-end</t>
  </si>
  <si>
    <t>Back-end</t>
  </si>
  <si>
    <t>Other Phases</t>
  </si>
  <si>
    <t>Project management</t>
  </si>
  <si>
    <t>Business Analysis</t>
  </si>
  <si>
    <t>UI Design &amp; Development Support</t>
  </si>
  <si>
    <t>Documentation</t>
  </si>
  <si>
    <t>QA Testing</t>
  </si>
  <si>
    <t>Total Estimation (Hours)</t>
  </si>
  <si>
    <t>30 day warranty post Go Live</t>
  </si>
  <si>
    <t>Grand Total Estimation (Hours)</t>
  </si>
  <si>
    <t>USD Cost / Hour</t>
  </si>
  <si>
    <t>Total Cost (USD)</t>
  </si>
  <si>
    <t>Sr No.</t>
  </si>
  <si>
    <t>Web Application</t>
  </si>
  <si>
    <t>Combined Efforts</t>
  </si>
  <si>
    <t>Sr.No</t>
  </si>
  <si>
    <t>Application Name</t>
  </si>
  <si>
    <t>Development + Unit Testing Efforts</t>
  </si>
  <si>
    <t>Web App</t>
  </si>
  <si>
    <t>Out Of Scope</t>
  </si>
  <si>
    <t>Implementation &amp; Support</t>
  </si>
  <si>
    <t>Technical Design</t>
  </si>
  <si>
    <t>Sub - Features/Comments/Implementation</t>
  </si>
  <si>
    <t>Basic Maintenance Features</t>
  </si>
  <si>
    <t>Assumptions &amp; Queries</t>
  </si>
  <si>
    <t>Change in License App for Maintenance Module.</t>
  </si>
  <si>
    <t>In Manage Devices, add new fiels in Add/Edit Device - Assets Tag, Manufacturing Date</t>
  </si>
  <si>
    <t>New Screen to Create / Update Maintenance Plan and view in grid.
- Plan name
- Duration
- Start date
- End date
- Devices (multi select))</t>
  </si>
  <si>
    <t>Background Service will create new data for future maintenance up to 30 days based on the Maintenance Plan created.</t>
  </si>
  <si>
    <t>New Page to view Maintenance Schedule.</t>
  </si>
  <si>
    <t>Maintenance Schedule  Page- Filter for search maintenance data, User can search by floor, zone, date and maintenance status. (floor and zone mapping will work as per existing implementation)</t>
  </si>
  <si>
    <t>Maintenance Schedule Page- Display all the maintenance data in grid with standard pagination as per selected filter.</t>
  </si>
  <si>
    <t>Maintenance Schedule Page - User can export data in CSV.</t>
  </si>
  <si>
    <t>Maintenance Schedule Page - User will update status to maintenance In Progress and a live preview image will be captured and stored.</t>
  </si>
  <si>
    <t>Maintenance Schedule Page - User can compare before and after Image and update status to maintenance Completed if result is satisfactory.</t>
  </si>
  <si>
    <t>Maintenance Schedule Page - Image comparison in percentage will be shown on screen for before and after maintenance.</t>
  </si>
  <si>
    <t>Maintenance Schedule Page - User can change status to maintenance Rework if required if user is not satisfied with the maintenance.</t>
  </si>
  <si>
    <t>Maintenance Schedule Page - Rework status history will display under maintenance popup in a table, so that if multiple times Rework is done, then history can be displayed.</t>
  </si>
  <si>
    <t>Maintenance Schedule Page - User can manually add new record for maintenance of any device in case of any high priority maintenance need.</t>
  </si>
  <si>
    <t>Maintenance Mode Widget as per Figma design</t>
  </si>
  <si>
    <t>Camera Disconnection Tracker Widget as per Figma design</t>
  </si>
  <si>
    <t>Cameras in Maintenance Widget as per Figma design</t>
  </si>
  <si>
    <t>Camera Maintenance Status Count Widget as per Figma design</t>
  </si>
  <si>
    <t>System Notification for due maintenance of camera.</t>
  </si>
  <si>
    <t>New screen to View/Add/Update RMA for a camera
- Create new RMA
- User can search RMA data by floor zone date and RMA status (In progress/Completed)
- Display RMA data in Grid with standard pagination
- User will manually mark a camera as "In RMA" and once the camera is back from RMA, he has to manually update that camera is back from RMA.
- RMA Start Date Time and RMA End Date Time fields will be given.</t>
  </si>
  <si>
    <t>Cost Estimation and Feature Listing for Hanwha Dashboard Web Application - Phase 4 - Basic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</si>
</sst>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D0D0D"/>
      </patternFill>
    </fill>
    <fill>
      <patternFill patternType="solid">
        <fgColor rgb="FF9DC3E6"/>
        <bgColor rgb="FFC0C0C0"/>
      </patternFill>
    </fill>
    <fill>
      <patternFill patternType="solid">
        <fgColor rgb="FF00FFFF"/>
        <bgColor rgb="FF00FFFF"/>
      </patternFill>
    </fill>
    <fill>
      <patternFill patternType="solid">
        <fgColor rgb="FF5B9BD5"/>
        <bgColor rgb="FF4F81BD"/>
      </patternFill>
    </fill>
    <fill>
      <patternFill patternType="solid">
        <fgColor rgb="FFDEEBF7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5E0B4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C0C0C0"/>
        <bgColor rgb="FF9DC3E6"/>
      </patternFill>
    </fill>
    <fill>
      <patternFill patternType="solid">
        <fgColor rgb="FF808080"/>
        <bgColor rgb="FF969696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9">
    <xf numFmtId="0" fontId="0" fillId="0" borderId="0" xfId="0">
      <alignment vertical="center"/>
    </xf>
    <xf numFmtId="0" fontId="2" fillId="0" borderId="1" xfId="1" applyFont="1" applyBorder="1" applyAlignment="1">
      <alignment vertical="top"/>
    </xf>
    <xf numFmtId="0" fontId="2" fillId="0" borderId="1" xfId="1" applyFont="1" applyBorder="1" applyAlignment="1">
      <alignment horizontal="center" vertical="top"/>
    </xf>
    <xf numFmtId="0" fontId="3" fillId="0" borderId="1" xfId="1" applyFont="1" applyBorder="1" applyAlignment="1">
      <alignment horizontal="left" vertical="top"/>
    </xf>
    <xf numFmtId="0" fontId="2" fillId="2" borderId="1" xfId="1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2" borderId="1" xfId="1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1" applyFont="1" applyBorder="1" applyAlignment="1">
      <alignment vertical="top"/>
    </xf>
    <xf numFmtId="0" fontId="3" fillId="4" borderId="1" xfId="1" applyFont="1" applyFill="1" applyBorder="1" applyAlignment="1">
      <alignment vertical="top"/>
    </xf>
    <xf numFmtId="0" fontId="6" fillId="5" borderId="1" xfId="1" applyFont="1" applyFill="1" applyBorder="1" applyAlignment="1">
      <alignment horizontal="center" vertical="top"/>
    </xf>
    <xf numFmtId="0" fontId="2" fillId="4" borderId="1" xfId="1" applyFont="1" applyFill="1" applyBorder="1" applyAlignment="1">
      <alignment vertical="top"/>
    </xf>
    <xf numFmtId="0" fontId="2" fillId="8" borderId="1" xfId="1" applyFont="1" applyFill="1" applyBorder="1" applyAlignment="1">
      <alignment horizontal="center" vertical="top"/>
    </xf>
    <xf numFmtId="1" fontId="2" fillId="0" borderId="1" xfId="1" applyNumberFormat="1" applyFont="1" applyBorder="1" applyAlignment="1">
      <alignment vertical="top"/>
    </xf>
    <xf numFmtId="0" fontId="3" fillId="0" borderId="1" xfId="1" applyFont="1" applyBorder="1" applyAlignment="1">
      <alignment vertical="top"/>
    </xf>
    <xf numFmtId="0" fontId="2" fillId="7" borderId="1" xfId="1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3" fillId="10" borderId="1" xfId="1" applyFont="1" applyFill="1" applyBorder="1" applyAlignment="1">
      <alignment vertical="top"/>
    </xf>
    <xf numFmtId="2" fontId="3" fillId="0" borderId="1" xfId="1" applyNumberFormat="1" applyFont="1" applyBorder="1" applyAlignment="1">
      <alignment vertical="top"/>
    </xf>
    <xf numFmtId="0" fontId="3" fillId="7" borderId="1" xfId="1" applyFont="1" applyFill="1" applyBorder="1" applyAlignment="1">
      <alignment vertical="top"/>
    </xf>
    <xf numFmtId="2" fontId="2" fillId="0" borderId="1" xfId="1" applyNumberFormat="1" applyFont="1" applyBorder="1" applyAlignment="1">
      <alignment vertical="top"/>
    </xf>
    <xf numFmtId="0" fontId="2" fillId="11" borderId="1" xfId="1" applyFont="1" applyFill="1" applyBorder="1" applyAlignment="1">
      <alignment vertical="top"/>
    </xf>
    <xf numFmtId="0" fontId="3" fillId="11" borderId="1" xfId="1" applyFont="1" applyFill="1" applyBorder="1" applyAlignment="1">
      <alignment vertical="top"/>
    </xf>
    <xf numFmtId="0" fontId="3" fillId="11" borderId="1" xfId="1" applyFont="1" applyFill="1" applyBorder="1" applyAlignment="1">
      <alignment horizontal="center" vertical="top"/>
    </xf>
    <xf numFmtId="0" fontId="2" fillId="6" borderId="1" xfId="1" applyFont="1" applyFill="1" applyBorder="1" applyAlignment="1">
      <alignment vertical="top"/>
    </xf>
    <xf numFmtId="1" fontId="2" fillId="6" borderId="1" xfId="1" applyNumberFormat="1" applyFont="1" applyFill="1" applyBorder="1" applyAlignment="1">
      <alignment horizontal="center" vertical="top"/>
    </xf>
    <xf numFmtId="2" fontId="2" fillId="6" borderId="1" xfId="1" applyNumberFormat="1" applyFont="1" applyFill="1" applyBorder="1" applyAlignment="1">
      <alignment vertical="top"/>
    </xf>
    <xf numFmtId="1" fontId="2" fillId="9" borderId="1" xfId="1" applyNumberFormat="1" applyFont="1" applyFill="1" applyBorder="1" applyAlignment="1">
      <alignment horizontal="center" vertical="top"/>
    </xf>
    <xf numFmtId="0" fontId="2" fillId="6" borderId="1" xfId="1" applyFont="1" applyFill="1" applyBorder="1" applyAlignment="1">
      <alignment horizontal="center" vertical="top"/>
    </xf>
    <xf numFmtId="0" fontId="3" fillId="10" borderId="1" xfId="1" applyFont="1" applyFill="1" applyBorder="1" applyAlignment="1">
      <alignment horizontal="right" vertical="top"/>
    </xf>
    <xf numFmtId="0" fontId="3" fillId="10" borderId="1" xfId="1" applyFont="1" applyFill="1" applyBorder="1" applyAlignment="1">
      <alignment horizontal="center" vertical="top"/>
    </xf>
    <xf numFmtId="2" fontId="3" fillId="10" borderId="1" xfId="1" applyNumberFormat="1" applyFont="1" applyFill="1" applyBorder="1" applyAlignment="1">
      <alignment vertical="top"/>
    </xf>
    <xf numFmtId="0" fontId="8" fillId="12" borderId="1" xfId="1" applyFont="1" applyFill="1" applyBorder="1" applyAlignment="1">
      <alignment vertical="top"/>
    </xf>
    <xf numFmtId="0" fontId="7" fillId="12" borderId="1" xfId="1" applyFont="1" applyFill="1" applyBorder="1" applyAlignment="1">
      <alignment horizontal="center" vertical="top" wrapText="1"/>
    </xf>
    <xf numFmtId="2" fontId="8" fillId="12" borderId="1" xfId="1" applyNumberFormat="1" applyFont="1" applyFill="1" applyBorder="1" applyAlignment="1">
      <alignment horizontal="right" vertical="top" wrapText="1"/>
    </xf>
    <xf numFmtId="2" fontId="8" fillId="0" borderId="1" xfId="1" applyNumberFormat="1" applyFont="1" applyBorder="1" applyAlignment="1">
      <alignment horizontal="right" vertical="top" wrapText="1"/>
    </xf>
    <xf numFmtId="0" fontId="3" fillId="0" borderId="1" xfId="1" applyFont="1" applyBorder="1" applyAlignment="1">
      <alignment horizontal="right" vertical="top"/>
    </xf>
    <xf numFmtId="2" fontId="2" fillId="7" borderId="1" xfId="1" applyNumberFormat="1" applyFont="1" applyFill="1" applyBorder="1" applyAlignment="1">
      <alignment vertical="top"/>
    </xf>
    <xf numFmtId="0" fontId="10" fillId="13" borderId="1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10" fillId="13" borderId="1" xfId="0" applyFont="1" applyFill="1" applyBorder="1" applyAlignment="1">
      <alignment horizontal="center" vertical="top" wrapText="1"/>
    </xf>
    <xf numFmtId="0" fontId="0" fillId="0" borderId="1" xfId="0" applyBorder="1">
      <alignment vertical="center"/>
    </xf>
    <xf numFmtId="0" fontId="11" fillId="13" borderId="1" xfId="0" applyFont="1" applyFill="1" applyBorder="1">
      <alignment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horizontal="left" vertical="top"/>
    </xf>
    <xf numFmtId="0" fontId="4" fillId="7" borderId="2" xfId="1" applyFont="1" applyFill="1" applyBorder="1" applyAlignment="1">
      <alignment horizontal="center" vertical="top"/>
    </xf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horizontal="left" vertical="top" wrapText="1"/>
    </xf>
    <xf numFmtId="1" fontId="3" fillId="10" borderId="1" xfId="1" applyNumberFormat="1" applyFont="1" applyFill="1" applyBorder="1" applyAlignment="1">
      <alignment horizontal="right" vertical="top"/>
    </xf>
    <xf numFmtId="0" fontId="1" fillId="0" borderId="0" xfId="0" applyFont="1">
      <alignment vertical="center"/>
    </xf>
    <xf numFmtId="0" fontId="3" fillId="10" borderId="1" xfId="1" applyFont="1" applyFill="1" applyBorder="1" applyAlignment="1">
      <alignment horizontal="left" vertical="top"/>
    </xf>
    <xf numFmtId="0" fontId="3" fillId="10" borderId="3" xfId="1" applyFont="1" applyFill="1" applyBorder="1" applyAlignment="1">
      <alignment horizontal="center" vertical="top"/>
    </xf>
    <xf numFmtId="0" fontId="3" fillId="10" borderId="4" xfId="1" applyFont="1" applyFill="1" applyBorder="1" applyAlignment="1">
      <alignment horizontal="center" vertical="top"/>
    </xf>
    <xf numFmtId="0" fontId="3" fillId="10" borderId="5" xfId="1" applyFont="1" applyFill="1" applyBorder="1" applyAlignment="1">
      <alignment horizontal="center" vertical="top"/>
    </xf>
    <xf numFmtId="0" fontId="11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3" xfId="1" applyFont="1" applyBorder="1" applyAlignment="1">
      <alignment horizontal="center" vertical="top"/>
    </xf>
    <xf numFmtId="0" fontId="9" fillId="0" borderId="4" xfId="1" applyFont="1" applyBorder="1" applyAlignment="1">
      <alignment horizontal="center" vertical="top"/>
    </xf>
    <xf numFmtId="0" fontId="6" fillId="3" borderId="1" xfId="1" applyFont="1" applyFill="1" applyBorder="1" applyAlignment="1">
      <alignment horizontal="center" vertical="top" wrapText="1"/>
    </xf>
    <xf numFmtId="0" fontId="6" fillId="3" borderId="1" xfId="1" applyFont="1" applyFill="1" applyBorder="1" applyAlignment="1">
      <alignment horizontal="center" vertical="top"/>
    </xf>
    <xf numFmtId="2" fontId="6" fillId="3" borderId="1" xfId="1" applyNumberFormat="1" applyFont="1" applyFill="1" applyBorder="1" applyAlignment="1">
      <alignment horizontal="center" vertical="top"/>
    </xf>
    <xf numFmtId="0" fontId="6" fillId="6" borderId="1" xfId="1" applyFont="1" applyFill="1" applyBorder="1" applyAlignment="1">
      <alignment horizontal="center" vertical="top"/>
    </xf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EEBF7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D349E-C1FC-4592-A374-89A1493FA480}">
  <dimension ref="A1:G19"/>
  <sheetViews>
    <sheetView workbookViewId="0">
      <selection activeCell="E19" sqref="E19"/>
    </sheetView>
  </sheetViews>
  <sheetFormatPr defaultRowHeight="15"/>
  <cols>
    <col min="1" max="1" width="5.85546875" bestFit="1" customWidth="1"/>
    <col min="2" max="2" width="32.85546875" bestFit="1" customWidth="1"/>
    <col min="4" max="4" width="58.5703125" customWidth="1"/>
    <col min="5" max="5" width="16.5703125" bestFit="1" customWidth="1"/>
    <col min="6" max="6" width="15.5703125" bestFit="1" customWidth="1"/>
    <col min="7" max="7" width="9.140625" bestFit="1" customWidth="1"/>
    <col min="9" max="9" width="8.5703125" bestFit="1" customWidth="1"/>
  </cols>
  <sheetData>
    <row r="1" spans="1:7">
      <c r="A1" s="43" t="s">
        <v>20</v>
      </c>
      <c r="B1" s="57" t="s">
        <v>21</v>
      </c>
      <c r="C1" s="57"/>
      <c r="D1" s="57"/>
      <c r="E1" s="43" t="s">
        <v>19</v>
      </c>
      <c r="F1" s="43" t="s">
        <v>4</v>
      </c>
      <c r="G1" s="43" t="s">
        <v>5</v>
      </c>
    </row>
    <row r="2" spans="1:7">
      <c r="A2" s="42">
        <v>1</v>
      </c>
      <c r="B2" s="58" t="s">
        <v>23</v>
      </c>
      <c r="C2" s="59"/>
      <c r="D2" s="59"/>
      <c r="E2" s="44">
        <f>SUM(F2:G2)</f>
        <v>340</v>
      </c>
      <c r="F2" s="44">
        <f>'Feature List - Web App'!G28</f>
        <v>148</v>
      </c>
      <c r="G2" s="44">
        <f>'Feature List - Web App'!H28</f>
        <v>192</v>
      </c>
    </row>
    <row r="3" spans="1:7">
      <c r="A3" s="42"/>
      <c r="B3" s="58"/>
      <c r="C3" s="58"/>
      <c r="D3" s="58"/>
      <c r="E3" s="44"/>
      <c r="F3" s="44"/>
      <c r="G3" s="44"/>
    </row>
    <row r="4" spans="1:7">
      <c r="A4" s="42"/>
      <c r="B4" s="60"/>
      <c r="C4" s="61"/>
      <c r="D4" s="62"/>
      <c r="E4" s="42"/>
      <c r="F4" s="42"/>
      <c r="G4" s="42"/>
    </row>
    <row r="5" spans="1:7">
      <c r="A5" s="54" t="s">
        <v>19</v>
      </c>
      <c r="B5" s="55"/>
      <c r="C5" s="55"/>
      <c r="D5" s="56"/>
      <c r="E5" s="31">
        <f>SUM(F5+G5)</f>
        <v>340</v>
      </c>
      <c r="F5" s="18">
        <f>SUM(F2:F3)</f>
        <v>148</v>
      </c>
      <c r="G5" s="18">
        <f>SUM(G2:G3)</f>
        <v>192</v>
      </c>
    </row>
    <row r="6" spans="1:7">
      <c r="A6" s="21"/>
      <c r="B6" s="22" t="s">
        <v>6</v>
      </c>
      <c r="C6" s="22"/>
      <c r="D6" s="23" t="s">
        <v>2</v>
      </c>
      <c r="E6" s="21"/>
      <c r="F6" s="21"/>
      <c r="G6" s="21"/>
    </row>
    <row r="7" spans="1:7">
      <c r="A7" s="24">
        <v>1</v>
      </c>
      <c r="B7" s="24" t="s">
        <v>7</v>
      </c>
      <c r="C7" s="24"/>
      <c r="D7" s="25">
        <v>5</v>
      </c>
      <c r="E7" s="26">
        <f>E5*D7/100</f>
        <v>17</v>
      </c>
      <c r="F7" s="20"/>
      <c r="G7" s="20"/>
    </row>
    <row r="8" spans="1:7">
      <c r="A8" s="24">
        <v>2</v>
      </c>
      <c r="B8" s="24" t="s">
        <v>8</v>
      </c>
      <c r="C8" s="24"/>
      <c r="D8" s="25">
        <v>5</v>
      </c>
      <c r="E8" s="26">
        <f>E5*D8/100</f>
        <v>17</v>
      </c>
      <c r="F8" s="20"/>
      <c r="G8" s="20"/>
    </row>
    <row r="9" spans="1:7">
      <c r="A9" s="24">
        <v>3</v>
      </c>
      <c r="B9" s="24" t="s">
        <v>26</v>
      </c>
      <c r="C9" s="24"/>
      <c r="D9" s="25">
        <v>0</v>
      </c>
      <c r="E9" s="26">
        <f>E5*D9/100</f>
        <v>0</v>
      </c>
      <c r="F9" s="20"/>
      <c r="G9" s="20"/>
    </row>
    <row r="10" spans="1:7">
      <c r="A10" s="24">
        <v>4</v>
      </c>
      <c r="B10" s="24" t="s">
        <v>9</v>
      </c>
      <c r="C10" s="24"/>
      <c r="D10" s="25">
        <v>5</v>
      </c>
      <c r="E10" s="26">
        <f>E5*D10/100</f>
        <v>17</v>
      </c>
      <c r="F10" s="20"/>
      <c r="G10" s="20"/>
    </row>
    <row r="11" spans="1:7">
      <c r="A11" s="24">
        <v>5</v>
      </c>
      <c r="B11" s="24" t="s">
        <v>10</v>
      </c>
      <c r="C11" s="24"/>
      <c r="D11" s="27">
        <v>5</v>
      </c>
      <c r="E11" s="26">
        <f>E5*D11/100</f>
        <v>17</v>
      </c>
      <c r="F11" s="20"/>
      <c r="G11" s="20"/>
    </row>
    <row r="12" spans="1:7">
      <c r="A12" s="24">
        <v>6</v>
      </c>
      <c r="B12" s="24" t="s">
        <v>11</v>
      </c>
      <c r="C12" s="24"/>
      <c r="D12" s="27">
        <v>20</v>
      </c>
      <c r="E12" s="26">
        <f>E5*D12/100</f>
        <v>68</v>
      </c>
      <c r="F12" s="20"/>
      <c r="G12" s="20"/>
    </row>
    <row r="13" spans="1:7">
      <c r="A13" s="24">
        <v>7</v>
      </c>
      <c r="B13" s="24" t="s">
        <v>25</v>
      </c>
      <c r="C13" s="24"/>
      <c r="D13" s="28">
        <v>0</v>
      </c>
      <c r="E13" s="26">
        <f>E5*D13/100</f>
        <v>0</v>
      </c>
      <c r="F13" s="20"/>
      <c r="G13" s="20"/>
    </row>
    <row r="14" spans="1:7">
      <c r="A14" s="17"/>
      <c r="B14" s="53" t="s">
        <v>12</v>
      </c>
      <c r="C14" s="53"/>
      <c r="D14" s="30"/>
      <c r="E14" s="31">
        <f>SUM(E5:E13)</f>
        <v>476</v>
      </c>
      <c r="F14" s="18"/>
      <c r="G14" s="18"/>
    </row>
    <row r="15" spans="1:7">
      <c r="A15" s="24">
        <v>8</v>
      </c>
      <c r="B15" s="24" t="s">
        <v>13</v>
      </c>
      <c r="C15" s="24"/>
      <c r="D15" s="25">
        <v>0</v>
      </c>
      <c r="E15" s="26">
        <v>0</v>
      </c>
      <c r="F15" s="20"/>
      <c r="G15" s="20"/>
    </row>
    <row r="16" spans="1:7">
      <c r="A16" s="17"/>
      <c r="B16" s="17" t="s">
        <v>14</v>
      </c>
      <c r="C16" s="17"/>
      <c r="D16" s="30"/>
      <c r="E16" s="31">
        <f>E14+E15</f>
        <v>476</v>
      </c>
      <c r="F16" s="18"/>
      <c r="G16" s="18"/>
    </row>
    <row r="17" spans="1:7">
      <c r="A17" s="32"/>
      <c r="B17" s="32"/>
      <c r="C17" s="32"/>
      <c r="D17" s="33" t="s">
        <v>15</v>
      </c>
      <c r="E17" s="34"/>
      <c r="F17" s="35"/>
      <c r="G17" s="35"/>
    </row>
    <row r="18" spans="1:7">
      <c r="A18" s="17"/>
      <c r="B18" s="17"/>
      <c r="C18" s="17"/>
      <c r="D18" s="30">
        <v>18</v>
      </c>
      <c r="E18" s="51">
        <f>SUM(D18*E16)</f>
        <v>8568</v>
      </c>
      <c r="F18" s="35"/>
      <c r="G18" s="35"/>
    </row>
    <row r="19" spans="1:7">
      <c r="A19" s="17"/>
      <c r="B19" s="17" t="s">
        <v>16</v>
      </c>
      <c r="C19" s="17"/>
      <c r="D19" s="30">
        <v>20</v>
      </c>
      <c r="E19" s="29">
        <f>SUM(D19*E16)</f>
        <v>9520</v>
      </c>
      <c r="F19" s="36"/>
      <c r="G19" s="36"/>
    </row>
  </sheetData>
  <mergeCells count="6">
    <mergeCell ref="B14:C14"/>
    <mergeCell ref="A5:D5"/>
    <mergeCell ref="B1:D1"/>
    <mergeCell ref="B2:D2"/>
    <mergeCell ref="B3:D3"/>
    <mergeCell ref="B4:D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6D38-7701-40AB-8C3F-F6DBD3AFDDC7}">
  <dimension ref="A1:IP96"/>
  <sheetViews>
    <sheetView tabSelected="1" zoomScaleNormal="100" workbookViewId="0">
      <selection sqref="A1:H1"/>
    </sheetView>
  </sheetViews>
  <sheetFormatPr defaultColWidth="12.42578125" defaultRowHeight="15"/>
  <cols>
    <col min="1" max="1" width="1.5703125" style="4" customWidth="1"/>
    <col min="2" max="2" width="7.42578125" style="1" bestFit="1" customWidth="1"/>
    <col min="3" max="3" width="45.5703125" style="1" bestFit="1" customWidth="1"/>
    <col min="4" max="4" width="136" style="1" bestFit="1" customWidth="1"/>
    <col min="5" max="5" width="16.85546875" style="1" bestFit="1" customWidth="1"/>
    <col min="6" max="6" width="12.5703125" style="20" customWidth="1"/>
    <col min="7" max="7" width="12.5703125" style="20" bestFit="1" customWidth="1"/>
    <col min="8" max="8" width="11.5703125" style="20" bestFit="1" customWidth="1"/>
    <col min="9" max="9" width="1.5703125" style="4" customWidth="1"/>
    <col min="10" max="244" width="9.5703125" style="1" customWidth="1"/>
    <col min="245" max="245" width="17.42578125" style="1" customWidth="1"/>
    <col min="246" max="246" width="100" style="1" customWidth="1"/>
    <col min="247" max="247" width="6.5703125" style="1" customWidth="1"/>
    <col min="248" max="248" width="1.5703125" style="1" customWidth="1"/>
    <col min="249" max="249" width="10.5703125" style="1" customWidth="1"/>
    <col min="250" max="250" width="11.5703125" style="1" customWidth="1"/>
    <col min="251" max="1018" width="12.42578125" style="5"/>
    <col min="1019" max="1024" width="10.42578125" style="5" customWidth="1"/>
    <col min="1025" max="16384" width="12.42578125" style="5"/>
  </cols>
  <sheetData>
    <row r="1" spans="1:250" ht="26.25">
      <c r="A1" s="63" t="s">
        <v>50</v>
      </c>
      <c r="B1" s="64"/>
      <c r="C1" s="64"/>
      <c r="D1" s="64"/>
      <c r="E1" s="64"/>
      <c r="F1" s="64"/>
      <c r="G1" s="64"/>
      <c r="H1" s="64"/>
    </row>
    <row r="2" spans="1:250" ht="36.75" customHeight="1">
      <c r="A2" s="6"/>
      <c r="B2" s="5"/>
      <c r="C2" s="5"/>
      <c r="D2" s="7"/>
      <c r="E2" s="8"/>
      <c r="F2" s="65" t="s">
        <v>22</v>
      </c>
      <c r="G2" s="65"/>
      <c r="H2" s="65"/>
      <c r="IK2" s="9"/>
      <c r="IL2" s="9"/>
      <c r="IM2" s="9"/>
      <c r="IN2" s="9"/>
      <c r="IO2" s="9"/>
      <c r="IP2" s="9"/>
    </row>
    <row r="3" spans="1:250" ht="18.75">
      <c r="B3" s="10" t="s">
        <v>0</v>
      </c>
      <c r="C3" s="10" t="s">
        <v>1</v>
      </c>
      <c r="D3" s="10" t="s">
        <v>27</v>
      </c>
      <c r="E3" s="66" t="s">
        <v>2</v>
      </c>
      <c r="F3" s="67" t="s">
        <v>3</v>
      </c>
      <c r="G3" s="67" t="s">
        <v>4</v>
      </c>
      <c r="H3" s="67" t="s">
        <v>5</v>
      </c>
      <c r="IK3" s="11"/>
      <c r="IL3" s="11"/>
      <c r="IM3" s="11"/>
      <c r="IN3" s="11"/>
      <c r="IO3" s="11"/>
      <c r="IP3" s="11"/>
    </row>
    <row r="4" spans="1:250" ht="18.75">
      <c r="B4" s="68" t="s">
        <v>18</v>
      </c>
      <c r="C4" s="68"/>
      <c r="D4" s="68"/>
      <c r="E4" s="66"/>
      <c r="F4" s="67"/>
      <c r="G4" s="67"/>
      <c r="H4" s="67"/>
      <c r="IK4" s="11"/>
      <c r="IL4" s="11"/>
      <c r="IM4" s="11"/>
      <c r="IN4" s="11"/>
      <c r="IO4" s="11"/>
      <c r="IP4" s="11"/>
    </row>
    <row r="5" spans="1:250">
      <c r="D5" s="49"/>
      <c r="F5" s="12"/>
      <c r="G5" s="2"/>
      <c r="H5" s="2"/>
      <c r="K5" s="13"/>
    </row>
    <row r="6" spans="1:250">
      <c r="B6" s="48">
        <v>13</v>
      </c>
      <c r="C6" s="1" t="s">
        <v>28</v>
      </c>
      <c r="D6" s="50" t="s">
        <v>30</v>
      </c>
      <c r="F6" s="12">
        <f t="shared" ref="F6:F25" si="0">SUM(G6:H6)</f>
        <v>8</v>
      </c>
      <c r="G6" s="2">
        <v>4</v>
      </c>
      <c r="H6" s="2">
        <v>4</v>
      </c>
      <c r="K6" s="13"/>
    </row>
    <row r="7" spans="1:250">
      <c r="B7" s="48"/>
      <c r="D7" s="50" t="s">
        <v>31</v>
      </c>
      <c r="F7" s="12">
        <f t="shared" si="0"/>
        <v>4</v>
      </c>
      <c r="G7" s="2">
        <v>2</v>
      </c>
      <c r="H7" s="2">
        <v>2</v>
      </c>
      <c r="K7" s="13"/>
    </row>
    <row r="8" spans="1:250" ht="90">
      <c r="B8" s="48"/>
      <c r="D8" s="50" t="s">
        <v>32</v>
      </c>
      <c r="F8" s="12">
        <f t="shared" si="0"/>
        <v>40</v>
      </c>
      <c r="G8" s="2">
        <v>16</v>
      </c>
      <c r="H8" s="2">
        <v>24</v>
      </c>
      <c r="K8" s="13"/>
    </row>
    <row r="9" spans="1:250">
      <c r="B9" s="48"/>
      <c r="D9" s="50" t="s">
        <v>33</v>
      </c>
      <c r="F9" s="12">
        <f t="shared" si="0"/>
        <v>16</v>
      </c>
      <c r="G9" s="2">
        <v>0</v>
      </c>
      <c r="H9" s="2">
        <v>16</v>
      </c>
      <c r="K9" s="13"/>
    </row>
    <row r="10" spans="1:250">
      <c r="B10" s="48"/>
      <c r="D10" s="50" t="s">
        <v>34</v>
      </c>
      <c r="F10" s="12">
        <f t="shared" si="0"/>
        <v>0</v>
      </c>
      <c r="G10" s="2">
        <v>0</v>
      </c>
      <c r="H10" s="2">
        <v>0</v>
      </c>
      <c r="K10" s="13"/>
    </row>
    <row r="11" spans="1:250" ht="30">
      <c r="B11" s="48"/>
      <c r="D11" s="50" t="s">
        <v>35</v>
      </c>
      <c r="F11" s="12">
        <f t="shared" si="0"/>
        <v>8</v>
      </c>
      <c r="G11" s="2">
        <v>8</v>
      </c>
      <c r="H11" s="2">
        <v>0</v>
      </c>
      <c r="K11" s="13"/>
    </row>
    <row r="12" spans="1:250">
      <c r="B12" s="48"/>
      <c r="D12" s="50" t="s">
        <v>36</v>
      </c>
      <c r="F12" s="12">
        <f t="shared" si="0"/>
        <v>24</v>
      </c>
      <c r="G12" s="2">
        <v>8</v>
      </c>
      <c r="H12" s="2">
        <v>16</v>
      </c>
      <c r="K12" s="13"/>
    </row>
    <row r="13" spans="1:250">
      <c r="B13" s="48"/>
      <c r="D13" s="50" t="s">
        <v>37</v>
      </c>
      <c r="F13" s="12">
        <f t="shared" si="0"/>
        <v>8</v>
      </c>
      <c r="G13" s="2">
        <v>0</v>
      </c>
      <c r="H13" s="2">
        <v>8</v>
      </c>
      <c r="K13" s="13"/>
    </row>
    <row r="14" spans="1:250">
      <c r="B14" s="48"/>
      <c r="D14" s="50" t="s">
        <v>38</v>
      </c>
      <c r="F14" s="12">
        <f t="shared" si="0"/>
        <v>16</v>
      </c>
      <c r="G14" s="2">
        <v>8</v>
      </c>
      <c r="H14" s="2">
        <v>8</v>
      </c>
      <c r="K14" s="13"/>
    </row>
    <row r="15" spans="1:250">
      <c r="B15" s="48"/>
      <c r="D15" s="50" t="s">
        <v>39</v>
      </c>
      <c r="F15" s="12">
        <f t="shared" si="0"/>
        <v>12</v>
      </c>
      <c r="G15" s="2">
        <v>4</v>
      </c>
      <c r="H15" s="2">
        <v>8</v>
      </c>
      <c r="K15" s="13"/>
    </row>
    <row r="16" spans="1:250">
      <c r="B16" s="48"/>
      <c r="D16" s="50" t="s">
        <v>40</v>
      </c>
      <c r="F16" s="12">
        <f t="shared" si="0"/>
        <v>48</v>
      </c>
      <c r="G16" s="2">
        <v>8</v>
      </c>
      <c r="H16" s="2">
        <v>40</v>
      </c>
      <c r="K16" s="13"/>
    </row>
    <row r="17" spans="1:250">
      <c r="B17" s="48"/>
      <c r="D17" s="50" t="s">
        <v>41</v>
      </c>
      <c r="F17" s="12">
        <f t="shared" si="0"/>
        <v>4</v>
      </c>
      <c r="G17" s="2">
        <v>2</v>
      </c>
      <c r="H17" s="2">
        <v>2</v>
      </c>
      <c r="K17" s="13"/>
    </row>
    <row r="18" spans="1:250" ht="30">
      <c r="B18" s="48"/>
      <c r="D18" s="50" t="s">
        <v>42</v>
      </c>
      <c r="F18" s="12">
        <f t="shared" si="0"/>
        <v>16</v>
      </c>
      <c r="G18" s="2">
        <v>8</v>
      </c>
      <c r="H18" s="2">
        <v>8</v>
      </c>
      <c r="K18" s="13"/>
    </row>
    <row r="19" spans="1:250">
      <c r="B19" s="48"/>
      <c r="D19" s="50" t="s">
        <v>43</v>
      </c>
      <c r="F19" s="12">
        <f t="shared" si="0"/>
        <v>12</v>
      </c>
      <c r="G19" s="2">
        <v>4</v>
      </c>
      <c r="H19" s="2">
        <v>8</v>
      </c>
      <c r="K19" s="13"/>
    </row>
    <row r="20" spans="1:250">
      <c r="B20" s="48"/>
      <c r="D20" s="52" t="s">
        <v>44</v>
      </c>
      <c r="F20" s="12">
        <f t="shared" si="0"/>
        <v>24</v>
      </c>
      <c r="G20" s="2">
        <v>16</v>
      </c>
      <c r="H20" s="2">
        <v>8</v>
      </c>
      <c r="K20" s="13"/>
    </row>
    <row r="21" spans="1:250">
      <c r="B21" s="48"/>
      <c r="D21" s="52" t="s">
        <v>45</v>
      </c>
      <c r="F21" s="12">
        <f t="shared" si="0"/>
        <v>24</v>
      </c>
      <c r="G21" s="2">
        <v>16</v>
      </c>
      <c r="H21" s="2">
        <v>8</v>
      </c>
      <c r="K21" s="13"/>
    </row>
    <row r="22" spans="1:250">
      <c r="B22" s="48"/>
      <c r="D22" s="52" t="s">
        <v>46</v>
      </c>
      <c r="F22" s="12">
        <f t="shared" si="0"/>
        <v>24</v>
      </c>
      <c r="G22" s="2">
        <v>16</v>
      </c>
      <c r="H22" s="2">
        <v>8</v>
      </c>
      <c r="K22" s="13"/>
    </row>
    <row r="23" spans="1:250">
      <c r="B23" s="48"/>
      <c r="D23" s="52" t="s">
        <v>47</v>
      </c>
      <c r="F23" s="12">
        <f t="shared" si="0"/>
        <v>24</v>
      </c>
      <c r="G23" s="2">
        <v>16</v>
      </c>
      <c r="H23" s="2">
        <v>8</v>
      </c>
      <c r="K23" s="13"/>
    </row>
    <row r="24" spans="1:250">
      <c r="B24" s="48"/>
      <c r="D24" s="1" t="s">
        <v>48</v>
      </c>
      <c r="F24" s="12">
        <f t="shared" si="0"/>
        <v>12</v>
      </c>
      <c r="G24" s="2">
        <v>4</v>
      </c>
      <c r="H24" s="2">
        <v>8</v>
      </c>
      <c r="K24" s="13"/>
    </row>
    <row r="25" spans="1:250" ht="90">
      <c r="B25" s="48"/>
      <c r="D25" s="49" t="s">
        <v>49</v>
      </c>
      <c r="F25" s="12">
        <f t="shared" si="0"/>
        <v>16</v>
      </c>
      <c r="G25" s="2">
        <v>8</v>
      </c>
      <c r="H25" s="2">
        <v>8</v>
      </c>
      <c r="K25" s="13"/>
    </row>
    <row r="26" spans="1:250">
      <c r="B26" s="48"/>
      <c r="D26" s="49"/>
      <c r="F26" s="12"/>
      <c r="G26" s="2"/>
      <c r="H26" s="2"/>
      <c r="K26" s="13"/>
    </row>
    <row r="27" spans="1:250">
      <c r="B27" s="48"/>
      <c r="D27" s="49"/>
      <c r="K27" s="13"/>
    </row>
    <row r="28" spans="1:250" s="16" customFormat="1">
      <c r="A28" s="4"/>
      <c r="B28" s="14"/>
      <c r="C28" s="14"/>
      <c r="D28" s="3"/>
      <c r="E28" s="17" t="s">
        <v>19</v>
      </c>
      <c r="F28" s="31">
        <f>SUM(G28+H28)</f>
        <v>340</v>
      </c>
      <c r="G28" s="18">
        <f>SUM(G5:G27)</f>
        <v>148</v>
      </c>
      <c r="H28" s="18">
        <f>SUM(H5:H27)</f>
        <v>192</v>
      </c>
      <c r="I28" s="4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9"/>
      <c r="IL28" s="19"/>
      <c r="IM28" s="19"/>
      <c r="IN28" s="19"/>
      <c r="IO28" s="19"/>
      <c r="IP28" s="19"/>
    </row>
    <row r="29" spans="1:250" s="16" customFormat="1">
      <c r="A29" s="4"/>
      <c r="B29" s="4"/>
      <c r="C29" s="4"/>
      <c r="D29" s="4">
        <f>++++++++-+XEX35</f>
        <v>0</v>
      </c>
      <c r="E29" s="4"/>
      <c r="F29" s="4"/>
      <c r="G29" s="4"/>
      <c r="H29" s="4"/>
      <c r="I29" s="4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9"/>
      <c r="IL29" s="19"/>
      <c r="IM29" s="19"/>
      <c r="IN29" s="19"/>
      <c r="IO29" s="19"/>
      <c r="IP29" s="19"/>
    </row>
    <row r="30" spans="1:250" s="15" customFormat="1">
      <c r="F30" s="37"/>
      <c r="G30" s="37"/>
      <c r="H30" s="37"/>
    </row>
    <row r="31" spans="1:250" s="15" customFormat="1">
      <c r="F31" s="37"/>
      <c r="G31" s="37"/>
      <c r="H31" s="37"/>
    </row>
    <row r="32" spans="1:250" s="15" customFormat="1">
      <c r="F32" s="37"/>
      <c r="G32" s="37"/>
      <c r="H32" s="37"/>
    </row>
    <row r="33" spans="6:8" s="15" customFormat="1">
      <c r="F33" s="37"/>
      <c r="G33" s="37"/>
      <c r="H33" s="37"/>
    </row>
    <row r="34" spans="6:8" s="15" customFormat="1">
      <c r="F34" s="37"/>
      <c r="G34" s="37"/>
      <c r="H34" s="37"/>
    </row>
    <row r="35" spans="6:8" s="15" customFormat="1">
      <c r="F35" s="37"/>
      <c r="G35" s="37"/>
      <c r="H35" s="37"/>
    </row>
    <row r="36" spans="6:8" s="15" customFormat="1">
      <c r="F36" s="37"/>
      <c r="G36" s="37"/>
      <c r="H36" s="37"/>
    </row>
    <row r="37" spans="6:8" s="15" customFormat="1">
      <c r="F37" s="37"/>
      <c r="G37" s="37"/>
      <c r="H37" s="37"/>
    </row>
    <row r="38" spans="6:8" s="15" customFormat="1">
      <c r="F38" s="37"/>
      <c r="G38" s="37"/>
      <c r="H38" s="37"/>
    </row>
    <row r="39" spans="6:8" s="15" customFormat="1">
      <c r="F39" s="37"/>
      <c r="G39" s="37"/>
      <c r="H39" s="37"/>
    </row>
    <row r="40" spans="6:8" s="15" customFormat="1">
      <c r="F40" s="37"/>
      <c r="G40" s="37"/>
      <c r="H40" s="37"/>
    </row>
    <row r="41" spans="6:8" s="15" customFormat="1">
      <c r="F41" s="37"/>
      <c r="G41" s="37"/>
      <c r="H41" s="37"/>
    </row>
    <row r="42" spans="6:8" s="15" customFormat="1">
      <c r="F42" s="37"/>
      <c r="G42" s="37"/>
      <c r="H42" s="37"/>
    </row>
    <row r="43" spans="6:8" s="15" customFormat="1">
      <c r="F43" s="37"/>
      <c r="G43" s="37"/>
      <c r="H43" s="37"/>
    </row>
    <row r="44" spans="6:8" s="15" customFormat="1">
      <c r="F44" s="37"/>
      <c r="G44" s="37"/>
      <c r="H44" s="37"/>
    </row>
    <row r="45" spans="6:8" s="15" customFormat="1">
      <c r="F45" s="37"/>
      <c r="G45" s="37"/>
      <c r="H45" s="37"/>
    </row>
    <row r="46" spans="6:8" s="15" customFormat="1">
      <c r="F46" s="37"/>
      <c r="G46" s="37"/>
      <c r="H46" s="37"/>
    </row>
    <row r="47" spans="6:8" s="15" customFormat="1">
      <c r="F47" s="37"/>
      <c r="G47" s="37"/>
      <c r="H47" s="37"/>
    </row>
    <row r="48" spans="6:8" s="15" customFormat="1">
      <c r="F48" s="37"/>
      <c r="G48" s="37"/>
      <c r="H48" s="37"/>
    </row>
    <row r="49" spans="6:8" s="15" customFormat="1">
      <c r="F49" s="37"/>
      <c r="G49" s="37"/>
      <c r="H49" s="37"/>
    </row>
    <row r="50" spans="6:8" s="15" customFormat="1">
      <c r="F50" s="37"/>
      <c r="G50" s="37"/>
      <c r="H50" s="37"/>
    </row>
    <row r="51" spans="6:8" s="15" customFormat="1">
      <c r="F51" s="37"/>
      <c r="G51" s="37"/>
      <c r="H51" s="37"/>
    </row>
    <row r="52" spans="6:8" s="15" customFormat="1">
      <c r="F52" s="37"/>
      <c r="G52" s="37"/>
      <c r="H52" s="37"/>
    </row>
    <row r="53" spans="6:8" s="15" customFormat="1">
      <c r="F53" s="37"/>
      <c r="G53" s="37"/>
      <c r="H53" s="37"/>
    </row>
    <row r="54" spans="6:8" s="15" customFormat="1">
      <c r="F54" s="37"/>
      <c r="G54" s="37"/>
      <c r="H54" s="37"/>
    </row>
    <row r="55" spans="6:8" s="15" customFormat="1">
      <c r="F55" s="37"/>
      <c r="G55" s="37"/>
      <c r="H55" s="37"/>
    </row>
    <row r="56" spans="6:8" s="15" customFormat="1">
      <c r="F56" s="37"/>
      <c r="G56" s="37"/>
      <c r="H56" s="37"/>
    </row>
    <row r="57" spans="6:8" s="15" customFormat="1">
      <c r="F57" s="37"/>
      <c r="G57" s="37"/>
      <c r="H57" s="37"/>
    </row>
    <row r="58" spans="6:8" s="15" customFormat="1">
      <c r="F58" s="37"/>
      <c r="G58" s="37"/>
      <c r="H58" s="37"/>
    </row>
    <row r="59" spans="6:8" s="15" customFormat="1">
      <c r="F59" s="37"/>
      <c r="G59" s="37"/>
      <c r="H59" s="37"/>
    </row>
    <row r="60" spans="6:8" s="15" customFormat="1">
      <c r="F60" s="37"/>
      <c r="G60" s="37"/>
      <c r="H60" s="37"/>
    </row>
    <row r="61" spans="6:8" s="15" customFormat="1">
      <c r="F61" s="37"/>
      <c r="G61" s="37"/>
      <c r="H61" s="37"/>
    </row>
    <row r="62" spans="6:8" s="15" customFormat="1">
      <c r="F62" s="37"/>
      <c r="G62" s="37"/>
      <c r="H62" s="37"/>
    </row>
    <row r="63" spans="6:8" s="15" customFormat="1">
      <c r="F63" s="37"/>
      <c r="G63" s="37"/>
      <c r="H63" s="37"/>
    </row>
    <row r="64" spans="6:8" s="15" customFormat="1">
      <c r="F64" s="37"/>
      <c r="G64" s="37"/>
      <c r="H64" s="37"/>
    </row>
    <row r="65" spans="6:8" s="15" customFormat="1">
      <c r="F65" s="37"/>
      <c r="G65" s="37"/>
      <c r="H65" s="37"/>
    </row>
    <row r="66" spans="6:8" s="15" customFormat="1">
      <c r="F66" s="37"/>
      <c r="G66" s="37"/>
      <c r="H66" s="37"/>
    </row>
    <row r="67" spans="6:8" s="15" customFormat="1">
      <c r="F67" s="37"/>
      <c r="G67" s="37"/>
      <c r="H67" s="37"/>
    </row>
    <row r="68" spans="6:8" s="15" customFormat="1">
      <c r="F68" s="37"/>
      <c r="G68" s="37"/>
      <c r="H68" s="37"/>
    </row>
    <row r="69" spans="6:8" s="15" customFormat="1">
      <c r="F69" s="37"/>
      <c r="G69" s="37"/>
      <c r="H69" s="37"/>
    </row>
    <row r="70" spans="6:8" s="15" customFormat="1">
      <c r="F70" s="37"/>
      <c r="G70" s="37"/>
      <c r="H70" s="37"/>
    </row>
    <row r="71" spans="6:8" s="15" customFormat="1">
      <c r="F71" s="37"/>
      <c r="G71" s="37"/>
      <c r="H71" s="37"/>
    </row>
    <row r="72" spans="6:8" s="15" customFormat="1">
      <c r="F72" s="37"/>
      <c r="G72" s="37"/>
      <c r="H72" s="37"/>
    </row>
    <row r="73" spans="6:8" s="15" customFormat="1">
      <c r="F73" s="37"/>
      <c r="G73" s="37"/>
      <c r="H73" s="37"/>
    </row>
    <row r="74" spans="6:8" s="15" customFormat="1">
      <c r="F74" s="37"/>
      <c r="G74" s="37"/>
      <c r="H74" s="37"/>
    </row>
    <row r="75" spans="6:8" s="15" customFormat="1">
      <c r="F75" s="37"/>
      <c r="G75" s="37"/>
      <c r="H75" s="37"/>
    </row>
    <row r="76" spans="6:8" s="15" customFormat="1">
      <c r="F76" s="37"/>
      <c r="G76" s="37"/>
      <c r="H76" s="37"/>
    </row>
    <row r="77" spans="6:8" s="15" customFormat="1">
      <c r="F77" s="37"/>
      <c r="G77" s="37"/>
      <c r="H77" s="37"/>
    </row>
    <row r="78" spans="6:8" s="15" customFormat="1">
      <c r="F78" s="37"/>
      <c r="G78" s="37"/>
      <c r="H78" s="37"/>
    </row>
    <row r="79" spans="6:8" s="15" customFormat="1">
      <c r="F79" s="37"/>
      <c r="G79" s="37"/>
      <c r="H79" s="37"/>
    </row>
    <row r="80" spans="6:8" s="15" customFormat="1">
      <c r="F80" s="37"/>
      <c r="G80" s="37"/>
      <c r="H80" s="37"/>
    </row>
    <row r="81" spans="6:8" s="15" customFormat="1">
      <c r="F81" s="37"/>
      <c r="G81" s="37"/>
      <c r="H81" s="37"/>
    </row>
    <row r="82" spans="6:8" s="15" customFormat="1">
      <c r="F82" s="37"/>
      <c r="G82" s="37"/>
      <c r="H82" s="37"/>
    </row>
    <row r="83" spans="6:8" s="15" customFormat="1">
      <c r="F83" s="37"/>
      <c r="G83" s="37"/>
      <c r="H83" s="37"/>
    </row>
    <row r="84" spans="6:8" s="15" customFormat="1">
      <c r="F84" s="37"/>
      <c r="G84" s="37"/>
      <c r="H84" s="37"/>
    </row>
    <row r="85" spans="6:8" s="15" customFormat="1">
      <c r="F85" s="37"/>
      <c r="G85" s="37"/>
      <c r="H85" s="37"/>
    </row>
    <row r="86" spans="6:8" s="15" customFormat="1">
      <c r="F86" s="37"/>
      <c r="G86" s="37"/>
      <c r="H86" s="37"/>
    </row>
    <row r="87" spans="6:8" s="15" customFormat="1">
      <c r="F87" s="37"/>
      <c r="G87" s="37"/>
      <c r="H87" s="37"/>
    </row>
    <row r="88" spans="6:8" s="15" customFormat="1">
      <c r="F88" s="37"/>
      <c r="G88" s="37"/>
      <c r="H88" s="37"/>
    </row>
    <row r="89" spans="6:8" s="15" customFormat="1">
      <c r="F89" s="37"/>
      <c r="G89" s="37"/>
      <c r="H89" s="37"/>
    </row>
    <row r="90" spans="6:8" s="15" customFormat="1">
      <c r="F90" s="37"/>
      <c r="G90" s="37"/>
      <c r="H90" s="37"/>
    </row>
    <row r="91" spans="6:8" s="15" customFormat="1">
      <c r="F91" s="37"/>
      <c r="G91" s="37"/>
      <c r="H91" s="37"/>
    </row>
    <row r="92" spans="6:8" s="15" customFormat="1">
      <c r="F92" s="37"/>
      <c r="G92" s="37"/>
      <c r="H92" s="37"/>
    </row>
    <row r="93" spans="6:8" s="15" customFormat="1">
      <c r="F93" s="37"/>
      <c r="G93" s="37"/>
      <c r="H93" s="37"/>
    </row>
    <row r="94" spans="6:8" s="15" customFormat="1">
      <c r="F94" s="37"/>
      <c r="G94" s="37"/>
      <c r="H94" s="37"/>
    </row>
    <row r="95" spans="6:8" s="15" customFormat="1">
      <c r="F95" s="37"/>
      <c r="G95" s="37"/>
      <c r="H95" s="37"/>
    </row>
    <row r="96" spans="6:8" s="15" customFormat="1">
      <c r="F96" s="37"/>
      <c r="G96" s="37"/>
      <c r="H96" s="37"/>
    </row>
  </sheetData>
  <mergeCells count="7">
    <mergeCell ref="A1:H1"/>
    <mergeCell ref="F2:H2"/>
    <mergeCell ref="E3:E4"/>
    <mergeCell ref="F3:F4"/>
    <mergeCell ref="G3:G4"/>
    <mergeCell ref="H3:H4"/>
    <mergeCell ref="B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E75F-D550-42BA-8EBF-9EC23B70CD26}">
  <dimension ref="A1:B4"/>
  <sheetViews>
    <sheetView workbookViewId="0">
      <selection activeCell="E27" sqref="A1:XFD1048576"/>
    </sheetView>
  </sheetViews>
  <sheetFormatPr defaultColWidth="9.5703125" defaultRowHeight="15"/>
  <cols>
    <col min="1" max="1" width="6.42578125" style="5" bestFit="1" customWidth="1"/>
    <col min="2" max="2" width="78.5703125" style="40" bestFit="1" customWidth="1"/>
    <col min="3" max="16384" width="9.5703125" style="39"/>
  </cols>
  <sheetData>
    <row r="1" spans="1:2">
      <c r="A1" s="38" t="s">
        <v>17</v>
      </c>
      <c r="B1" s="41" t="s">
        <v>24</v>
      </c>
    </row>
    <row r="2" spans="1:2">
      <c r="A2" s="45">
        <v>1</v>
      </c>
      <c r="B2" s="46"/>
    </row>
    <row r="3" spans="1:2">
      <c r="A3" s="45">
        <v>2</v>
      </c>
      <c r="B3" s="46"/>
    </row>
    <row r="4" spans="1:2">
      <c r="A4" s="45"/>
      <c r="B4" s="4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E29DF-ACAB-4E06-AB65-D32885BB2308}">
  <dimension ref="A1:B4"/>
  <sheetViews>
    <sheetView workbookViewId="0">
      <selection activeCell="C1" sqref="C1"/>
    </sheetView>
  </sheetViews>
  <sheetFormatPr defaultColWidth="9.5703125" defaultRowHeight="15"/>
  <cols>
    <col min="1" max="1" width="6.42578125" style="5" bestFit="1" customWidth="1"/>
    <col min="2" max="2" width="78.5703125" style="40" bestFit="1" customWidth="1"/>
    <col min="3" max="16384" width="9.5703125" style="39"/>
  </cols>
  <sheetData>
    <row r="1" spans="1:2">
      <c r="A1" s="38" t="s">
        <v>17</v>
      </c>
      <c r="B1" s="41" t="s">
        <v>29</v>
      </c>
    </row>
    <row r="2" spans="1:2">
      <c r="A2" s="45">
        <v>1</v>
      </c>
      <c r="B2" s="46"/>
    </row>
    <row r="3" spans="1:2">
      <c r="A3" s="45">
        <v>2</v>
      </c>
      <c r="B3" s="46"/>
    </row>
    <row r="4" spans="1:2">
      <c r="A4" s="45"/>
      <c r="B4" s="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Combined Efforts</vt:lpstr>
      <vt:lpstr>Feature List - Web App</vt:lpstr>
      <vt:lpstr>Out Of Scope</vt:lpstr>
      <vt:lpstr>Assumptions &amp; 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aftabhusen.multani</dc:creator>
  <dc:description/>
  <cp:lastModifiedBy>Jigar Modi</cp:lastModifiedBy>
  <cp:revision>54</cp:revision>
  <dcterms:created xsi:type="dcterms:W3CDTF">2019-05-20T03:57:00Z</dcterms:created>
  <dcterms:modified xsi:type="dcterms:W3CDTF">2025-11-14T11:27:55Z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9551F116D40F4C788FB5C4C18F1B93ED</vt:lpwstr>
  </property>
  <property fmtid="{D5CDD505-2E9C-101B-9397-08002B2CF9AE}" pid="3" name="KSOProductBuildVer">
    <vt:lpwstr>1033-11.2.0.11306</vt:lpwstr>
  </property>
  <property fmtid="{D5CDD505-2E9C-101B-9397-08002B2CF9AE}" pid="4" name="KSOReadingLayout">
    <vt:bool>true</vt:bool>
  </property>
</Properties>
</file>