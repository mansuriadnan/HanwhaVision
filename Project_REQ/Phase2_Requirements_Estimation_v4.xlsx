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JigarModi_SharedFolder\Hanwha\"/>
    </mc:Choice>
  </mc:AlternateContent>
  <xr:revisionPtr revIDLastSave="0" documentId="13_ncr:1_{BB41C90E-A0CF-4F6A-9297-8AE28A831E9D}" xr6:coauthVersionLast="47" xr6:coauthVersionMax="47" xr10:uidLastSave="{00000000-0000-0000-0000-000000000000}"/>
  <bookViews>
    <workbookView xWindow="-120" yWindow="-120" windowWidth="29040" windowHeight="15720" xr2:uid="{00000000-000D-0000-FFFF-FFFF00000000}"/>
  </bookViews>
  <sheets>
    <sheet name="Combined Efforts" sheetId="2" r:id="rId1"/>
    <sheet name="Feature Listing"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0" i="1" l="1"/>
  <c r="E42" i="1"/>
  <c r="E40" i="1" l="1"/>
  <c r="E38" i="1"/>
  <c r="E36" i="1"/>
  <c r="E34" i="1"/>
  <c r="E32" i="1"/>
  <c r="E57" i="1"/>
  <c r="E53" i="1"/>
  <c r="E30" i="1"/>
  <c r="E55" i="1"/>
  <c r="E28" i="1"/>
  <c r="E26" i="1"/>
  <c r="E24" i="1"/>
  <c r="E22" i="1"/>
  <c r="E20" i="1"/>
  <c r="E18" i="1"/>
  <c r="E16" i="1"/>
  <c r="E14" i="1"/>
  <c r="E12" i="1"/>
  <c r="E10" i="1"/>
  <c r="E8" i="1"/>
  <c r="E6" i="1"/>
  <c r="F94" i="1" l="1"/>
  <c r="F2" i="2" s="1"/>
  <c r="E17" i="2"/>
  <c r="E3" i="2"/>
  <c r="G94" i="1"/>
  <c r="G2" i="2" s="1"/>
  <c r="G6" i="2" s="1"/>
  <c r="E2" i="2" l="1"/>
  <c r="E94" i="1"/>
  <c r="F6" i="2"/>
  <c r="E6" i="2" s="1"/>
  <c r="E14" i="2" l="1"/>
  <c r="E13" i="2"/>
  <c r="E12" i="2"/>
  <c r="E11" i="2"/>
  <c r="E10" i="2"/>
  <c r="E9" i="2"/>
  <c r="E8" i="2"/>
  <c r="E16" i="2" l="1"/>
  <c r="E18" i="2" s="1"/>
  <c r="E21" i="2" l="1"/>
  <c r="E20" i="2"/>
</calcChain>
</file>

<file path=xl/sharedStrings.xml><?xml version="1.0" encoding="utf-8"?>
<sst xmlns="http://schemas.openxmlformats.org/spreadsheetml/2006/main" count="120" uniqueCount="114">
  <si>
    <t>Development + Unit testing</t>
  </si>
  <si>
    <t>Comment/Query</t>
  </si>
  <si>
    <t>Sr No</t>
  </si>
  <si>
    <t>Main - Features</t>
  </si>
  <si>
    <t>Sub - Features</t>
  </si>
  <si>
    <t>Combined</t>
  </si>
  <si>
    <t>Front-end</t>
  </si>
  <si>
    <t>Back-end</t>
  </si>
  <si>
    <t>Total combined efforts</t>
  </si>
  <si>
    <t>Sr.No</t>
  </si>
  <si>
    <t>Application Name</t>
  </si>
  <si>
    <t>Combined Efforts</t>
  </si>
  <si>
    <t>Other Phases</t>
  </si>
  <si>
    <t>% Attribution</t>
  </si>
  <si>
    <t>Project management</t>
  </si>
  <si>
    <t>Business Analysis</t>
  </si>
  <si>
    <t>Technical Design( Web+ Mobile)</t>
  </si>
  <si>
    <t>UI Design &amp; Development Support</t>
  </si>
  <si>
    <t>Documentation</t>
  </si>
  <si>
    <t>QA Testing</t>
  </si>
  <si>
    <t>Total Estimation (Hours)</t>
  </si>
  <si>
    <t>30 day warranty post Go Live</t>
  </si>
  <si>
    <t>Grand Total Estimation (Hours)</t>
  </si>
  <si>
    <t>USD Cost / Hour</t>
  </si>
  <si>
    <t>Total Cost (USD)</t>
  </si>
  <si>
    <t>Cost Estimation &amp; Feature Listing for Phase - 2 Development in Hanwha BI Dashboard Web Application</t>
  </si>
  <si>
    <t>BI Dashboard Web Application</t>
  </si>
  <si>
    <t>Collect the data from camera if camera disconnected from application,</t>
  </si>
  <si>
    <t>Collect the data from camera if camera disconnected from application, during disconnection time data should fetch to the app. Once the camera is connected back, the API will be called and the data is to be ingested for the time when the camera was not connected/offline.</t>
  </si>
  <si>
    <t>Floor plan widget: Solve UI issue of multiple camera count data overlapping if placed nearby</t>
  </si>
  <si>
    <t>In floor plan widget, if the camera are nearby, then the count is overlapping and it is difficult to view the count of the camera. As a solution, show the count on hover/selection of camera. On hover/selection, display the count on top of other camera.</t>
  </si>
  <si>
    <t>Floor plan to stretch the MAP</t>
  </si>
  <si>
    <t>Allow user to move the map across the screen with zoom in and zoom out also increase the dot size for camera focal rotation. Give option to view floor plan and map in full screen.</t>
  </si>
  <si>
    <t>Database Limit setting - Retention period, archive option should available.</t>
  </si>
  <si>
    <t>Database configured on separate server machine</t>
  </si>
  <si>
    <t>Currently, the database is installed on the same server where the application is installed. Now, give option to install database in separate drive of same server or separate server, connected via LAN and connect the database from that server in the application. In the application installer file, give option to select separate database server location.</t>
  </si>
  <si>
    <t>Database Auto Backup</t>
  </si>
  <si>
    <t>Auto back up of database should be done at a specific time of day. Give option in General Configuration Setting to enter the location of separate server where the backup file of database will be stored. Keep backup files of last 7 days and delete old backup files.</t>
  </si>
  <si>
    <t>Audit Log</t>
  </si>
  <si>
    <t>Provide feature/screen to view audit log of the application. Provide feature to send log details as email to technical team.</t>
  </si>
  <si>
    <t>Occupancy - Average occupancy rate</t>
  </si>
  <si>
    <t>UI modifications in Capacity Utilization Widget. If the utilization is more than the defined capacity, show in red color backgroud or give some blinking effect.</t>
  </si>
  <si>
    <t>Time Format selection</t>
  </si>
  <si>
    <t>The time format selection in the General Configuration Setting should be applied throughout the application, even in the reports. The time format change should reflect on the screen without manual refreshing of the screen.</t>
  </si>
  <si>
    <t>Multichannel Camera</t>
  </si>
  <si>
    <t>In Manage Device screen, add new type of "Multichannel" camera. Give textbox to enter the number of channels supported by the camera. Usually it will be between 2 to 5 channels.
Multichannel camera will have separate APIs, details of which will be provided by Bala.</t>
  </si>
  <si>
    <t>Collabsible Menu (UI improvement)</t>
  </si>
  <si>
    <t>Left side menu should be collapsible so as to have full utilization of the screen.</t>
  </si>
  <si>
    <t>Multi-lingual support</t>
  </si>
  <si>
    <t>Make the application multi-lingual with below mentioned languages supported:
Arabic
Korean
French
Mandarin (Chinese)
German
Spanish
Italian
Danish (Denmark)
Russian</t>
  </si>
  <si>
    <t>Mobile Responsiveness</t>
  </si>
  <si>
    <t>The application should be mobile responsive, supporting on tablet/iPad/mobile.</t>
  </si>
  <si>
    <t>UI Themes</t>
  </si>
  <si>
    <t>Give option to view the application in 8 more themes.</t>
  </si>
  <si>
    <t>Report Changes</t>
  </si>
  <si>
    <t>In the Report filter, give custom option to user to select Start Date and End Date.
In the Result, give custom option to user to select the time gap for which the report needs to be shown, like 5 Min, 10 Min, 15 Min, 30 Min, 1 Hr, 2 Hr., etc.</t>
  </si>
  <si>
    <t>Generative AI</t>
  </si>
  <si>
    <t>Implementation of Generative AI in the application.</t>
  </si>
  <si>
    <t>Widgets design modification</t>
  </si>
  <si>
    <t>Few widgets are looking similar. Identify and propose different design for these widgets.</t>
  </si>
  <si>
    <t>Widget Resize</t>
  </si>
  <si>
    <t>Give option to resize the widget. Also, give option to view the widgets in full screen view.</t>
  </si>
  <si>
    <t>ANPR API Integration</t>
  </si>
  <si>
    <t>Automatic Number Plate Recognition
Number plate field list to be obtained by calling the API. Bala to provide the API.
Add new widget in traffic showing parking slots are Available or Not Available. If Parking Slots are full, show Parking full.
Add Parking slots field in Zone creation.</t>
  </si>
  <si>
    <t>SSM Dashboard in Vision Insight</t>
  </si>
  <si>
    <t>SSM Dashboard to be integrated in Vision Insight. API and further details will be given and discussed by Bala.</t>
  </si>
  <si>
    <t>Failover plan</t>
  </si>
  <si>
    <t>System failover plan</t>
  </si>
  <si>
    <t>Widget UI format</t>
  </si>
  <si>
    <t>BI Dashboard Web Application Phase 4 Enhancements</t>
  </si>
  <si>
    <t>TBD</t>
  </si>
  <si>
    <t>Implemented as per email from Bala</t>
  </si>
  <si>
    <t>`- MyReports we will add In/Out data 
 - Export PDF from dashboard, need to show people widget twice, one with In and another with Out
 - Same changes will be applicable in Vehicle and Vehicle by Types widget</t>
  </si>
  <si>
    <t>TBD - As of now we had just decided automatic backup</t>
  </si>
  <si>
    <t>ZABBIX Integration</t>
  </si>
  <si>
    <t>User should be able to expand the widget</t>
  </si>
  <si>
    <t>Collect the data from camera if camera disconnected from application, during disconnection time data should fetch to the app</t>
  </si>
  <si>
    <t>Bala has to provide the CGI command and need to have a call with HQ development</t>
  </si>
  <si>
    <t>we will have months or years to maintain the retention period) need to discuss in detail with DB team and our Technical Team</t>
  </si>
  <si>
    <r>
      <t xml:space="preserve">Backup - Is database available in backup, if server crashed can database restore, DB export should available. If database crashed, can possible to recover. </t>
    </r>
    <r>
      <rPr>
        <sz val="11"/>
        <color rgb="FFFF0000"/>
        <rFont val="Calibri"/>
        <family val="2"/>
      </rPr>
      <t>We will keep only first 7 days backup and rest it will be over written First in First out base at any given point of time we will have 7 days backup</t>
    </r>
  </si>
  <si>
    <t>Two-way (Need to integrated with SSM Dashboard and show in separate page for dashboard) API’s and integration will be discussed with HQ developers.  Bala will arrange the call) Need to share how the architecture will work and what are API to be integrated</t>
  </si>
  <si>
    <t>Jayendra will update with all logs and need to have report as well</t>
  </si>
  <si>
    <t>API not responding - How to know</t>
  </si>
  <si>
    <t>refer to point of audit log and need to have one widget</t>
  </si>
  <si>
    <t>Need to check X Series Wisenet 9 API issues</t>
  </si>
  <si>
    <t xml:space="preserve">Already team is working </t>
  </si>
  <si>
    <r>
      <t>Need to test dual lens camera as well - PNM Series 2Ch, 3Ch, 4Ch, and 5Ch (</t>
    </r>
    <r>
      <rPr>
        <sz val="11"/>
        <color rgb="FFFF0000"/>
        <rFont val="Calibri"/>
        <family val="2"/>
      </rPr>
      <t>Need to create Multi Channel and it should max 5Ch, based on camera API number channels should be enable) and the license should be deducted based on number channels</t>
    </r>
    <r>
      <rPr>
        <sz val="11"/>
        <color rgb="FF000000"/>
        <rFont val="Calibri"/>
        <family val="2"/>
        <charset val="1"/>
      </rPr>
      <t>)</t>
    </r>
  </si>
  <si>
    <t>iDRAC Integration</t>
  </si>
  <si>
    <t>Need to have separate call with network and Design team</t>
  </si>
  <si>
    <t>Heat maps plotting on floor plans or Maps</t>
  </si>
  <si>
    <t>Jayendra will work on this</t>
  </si>
  <si>
    <t>Basic Maintenance features need to be added</t>
  </si>
  <si>
    <t>Assets tag details, Warranty, Maintenance schedular, RMA, before and after) we will have call on this with Vijeesh and ganesh</t>
  </si>
  <si>
    <t>Need to have call with AI team</t>
  </si>
  <si>
    <t xml:space="preserve">Voice enabled features to be enhanced to reports and other widgets </t>
  </si>
  <si>
    <t>Need to create what type of widgets will work and create filter or comparison</t>
  </si>
  <si>
    <t>Need to have import option to upload cameras in Device management</t>
  </si>
  <si>
    <t>Bulk upload for cameras) needs to have excel Template for this</t>
  </si>
  <si>
    <t xml:space="preserve">Need to have export to CSV to see number of devices and list </t>
  </si>
  <si>
    <t>Need to have export option on device manager based on filtration</t>
  </si>
  <si>
    <t xml:space="preserve">Need to have calculator on the export your report to have manual percentage value to be defined </t>
  </si>
  <si>
    <t>we will have call with Vijeesh and Ganesh) 1. Employees, 2. Exhibitors and percentage and Bala will provide you the formula from the customer</t>
  </si>
  <si>
    <t>(Offline, Online and API not responding)
New Widget for API Working/Not Working Camera
Develop a new widget that displays the count of cameras which has API working/ not working.</t>
  </si>
  <si>
    <t>Collect the data from camera if camera disconnected from application</t>
  </si>
  <si>
    <t>Need to share API, need to have separate Dashboard widgets showing number of Vehicle in and out based on LPR, need to involve ganesh, Vijeesh on the call</t>
  </si>
  <si>
    <t>In all the In/Out report, show the difference of In/Out hourly, not showing it as adding up total every hour.</t>
  </si>
  <si>
    <t>Implementation &amp; Support</t>
  </si>
  <si>
    <r>
      <t xml:space="preserve">Need to do R&amp;D on this and check how we can create a solution.
</t>
    </r>
    <r>
      <rPr>
        <sz val="11"/>
        <color rgb="FF002060"/>
        <rFont val="Calibri"/>
        <family val="2"/>
        <scheme val="minor"/>
      </rPr>
      <t>As a solution, if customer wants to install MongoDB to another drive of same machine where VI is being installed, then it is possible, but if customer wants to have database on separate machine, then automatic installation of MongoDB will not happen. In that case, MongoDB has to be already installed in separate machine where DB is to be pointed to.</t>
    </r>
  </si>
  <si>
    <t>In/Out and Utilization Widgets Modifications</t>
  </si>
  <si>
    <t>People In/Out Widget and Report Modification</t>
  </si>
  <si>
    <t>In In/Out Widget, People and Vehicle, show both In and Out on same widget. While exporting the In/Out report to PDF, both In and Out should be shown. Currently it is only showing either In or Out, based on what is visible on the screen.</t>
  </si>
  <si>
    <t>Multi Language Support</t>
  </si>
  <si>
    <t>Multiple Server</t>
  </si>
  <si>
    <t>Vois AI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</si>
</sst>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rgb="FF006100"/>
      <name val="Calibri"/>
      <family val="2"/>
      <scheme val="minor"/>
    </font>
    <font>
      <sz val="11"/>
      <color rgb="FF000000"/>
      <name val="Calibri"/>
      <family val="2"/>
      <charset val="1"/>
    </font>
    <font>
      <b/>
      <sz val="20"/>
      <name val="Calibri"/>
      <family val="2"/>
      <charset val="1"/>
    </font>
    <font>
      <b/>
      <sz val="11"/>
      <color rgb="FF000000"/>
      <name val="Calibri"/>
      <family val="2"/>
      <charset val="1"/>
    </font>
    <font>
      <sz val="11"/>
      <name val="Calibri"/>
      <family val="2"/>
      <charset val="1"/>
    </font>
    <font>
      <b/>
      <sz val="14"/>
      <name val="Calibri"/>
      <family val="2"/>
      <charset val="1"/>
    </font>
    <font>
      <sz val="11"/>
      <color rgb="FF000000"/>
      <name val="Calibri"/>
      <family val="2"/>
    </font>
    <font>
      <b/>
      <sz val="14"/>
      <name val="Calibri"/>
      <family val="2"/>
      <scheme val="minor"/>
    </font>
    <font>
      <sz val="11"/>
      <name val="Calibri"/>
      <family val="2"/>
      <scheme val="minor"/>
    </font>
    <font>
      <sz val="11"/>
      <color rgb="FF000000"/>
      <name val="Calibri"/>
      <family val="2"/>
      <scheme val="minor"/>
    </font>
    <font>
      <sz val="11"/>
      <color theme="1"/>
      <name val="Calibri"/>
      <family val="2"/>
      <charset val="1"/>
    </font>
    <font>
      <b/>
      <sz val="12"/>
      <color rgb="FF006100"/>
      <name val="Calibri"/>
      <family val="2"/>
      <scheme val="minor"/>
    </font>
    <font>
      <b/>
      <sz val="12"/>
      <color rgb="FF000000"/>
      <name val="Calibri"/>
      <family val="2"/>
    </font>
    <font>
      <b/>
      <sz val="11"/>
      <color rgb="FFFFFFFF"/>
      <name val="Calibri"/>
      <family val="2"/>
      <charset val="1"/>
    </font>
    <font>
      <sz val="11"/>
      <color rgb="FFFFFFFF"/>
      <name val="Calibri"/>
      <family val="2"/>
      <charset val="1"/>
    </font>
    <font>
      <sz val="11"/>
      <color rgb="FFFF0000"/>
      <name val="Calibri"/>
      <family val="2"/>
      <scheme val="minor"/>
    </font>
    <font>
      <sz val="11"/>
      <color rgb="FFFF0000"/>
      <name val="Calibri"/>
      <family val="2"/>
    </font>
    <font>
      <sz val="11"/>
      <color rgb="FFFF0000"/>
      <name val="Calibri"/>
      <family val="2"/>
      <charset val="1"/>
    </font>
    <font>
      <sz val="11"/>
      <color rgb="FF002060"/>
      <name val="Calibri"/>
      <family val="2"/>
      <scheme val="minor"/>
    </font>
  </fonts>
  <fills count="24">
    <fill>
      <patternFill patternType="none"/>
    </fill>
    <fill>
      <patternFill patternType="gray125"/>
    </fill>
    <fill>
      <patternFill patternType="solid">
        <fgColor rgb="FFC6EFCE"/>
      </patternFill>
    </fill>
    <fill>
      <patternFill patternType="solid">
        <fgColor rgb="FF000000"/>
        <bgColor rgb="FF003300"/>
      </patternFill>
    </fill>
    <fill>
      <patternFill patternType="solid">
        <fgColor rgb="FF9DC3E6"/>
        <bgColor rgb="FFC0C0C0"/>
      </patternFill>
    </fill>
    <fill>
      <patternFill patternType="solid">
        <fgColor rgb="FF00FFFF"/>
        <bgColor rgb="FF00FFFF"/>
      </patternFill>
    </fill>
    <fill>
      <patternFill patternType="solid">
        <fgColor rgb="FF5B9BD5"/>
        <bgColor rgb="FF969696"/>
      </patternFill>
    </fill>
    <fill>
      <patternFill patternType="solid">
        <fgColor rgb="FF5B9BD5"/>
        <bgColor rgb="FF4F81BD"/>
      </patternFill>
    </fill>
    <fill>
      <patternFill patternType="solid">
        <fgColor rgb="FFDEEBF7"/>
        <bgColor rgb="FFCCFFFF"/>
      </patternFill>
    </fill>
    <fill>
      <patternFill patternType="solid">
        <fgColor rgb="FFFFFFFF"/>
        <bgColor rgb="FFFFFFCC"/>
      </patternFill>
    </fill>
    <fill>
      <patternFill patternType="solid">
        <fgColor theme="0"/>
        <bgColor indexed="64"/>
      </patternFill>
    </fill>
    <fill>
      <patternFill patternType="solid">
        <fgColor rgb="FFFFFFFF"/>
        <bgColor indexed="64"/>
      </patternFill>
    </fill>
    <fill>
      <patternFill patternType="solid">
        <fgColor theme="9"/>
        <bgColor rgb="FFFFFFCC"/>
      </patternFill>
    </fill>
    <fill>
      <patternFill patternType="solid">
        <fgColor theme="1"/>
        <bgColor indexed="64"/>
      </patternFill>
    </fill>
    <fill>
      <patternFill patternType="solid">
        <fgColor rgb="FFC00000"/>
        <bgColor rgb="FFCC0000"/>
      </patternFill>
    </fill>
    <fill>
      <patternFill patternType="solid">
        <fgColor rgb="FF00FF00"/>
        <bgColor rgb="FF33CCCC"/>
      </patternFill>
    </fill>
    <fill>
      <patternFill patternType="solid">
        <fgColor rgb="FFC0C0C0"/>
        <bgColor rgb="FF9DC3E6"/>
      </patternFill>
    </fill>
    <fill>
      <patternFill patternType="solid">
        <fgColor rgb="FFFFFF00"/>
        <bgColor rgb="FFFFFF00"/>
      </patternFill>
    </fill>
    <fill>
      <patternFill patternType="solid">
        <fgColor rgb="FF808080"/>
        <bgColor rgb="FF969696"/>
      </patternFill>
    </fill>
    <fill>
      <patternFill patternType="solid">
        <fgColor rgb="FFFFFF00"/>
        <bgColor indexed="64"/>
      </patternFill>
    </fill>
    <fill>
      <patternFill patternType="solid">
        <fgColor theme="0" tint="-0.499984740745262"/>
        <bgColor rgb="FFFFFFCC"/>
      </patternFill>
    </fill>
    <fill>
      <patternFill patternType="solid">
        <fgColor theme="0" tint="-0.499984740745262"/>
        <bgColor indexed="64"/>
      </patternFill>
    </fill>
    <fill>
      <patternFill patternType="solid">
        <fgColor theme="5"/>
        <bgColor indexed="64"/>
      </patternFill>
    </fill>
    <fill>
      <patternFill patternType="solid">
        <fgColor rgb="FF00B050"/>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rgb="FF000000"/>
      </bottom>
      <diagonal/>
    </border>
    <border>
      <left/>
      <right style="thin">
        <color auto="1"/>
      </right>
      <top style="thin">
        <color auto="1"/>
      </top>
      <bottom/>
      <diagonal/>
    </border>
    <border>
      <left/>
      <right/>
      <top style="thin">
        <color rgb="FF000000"/>
      </top>
      <bottom/>
      <diagonal/>
    </border>
  </borders>
  <cellStyleXfs count="4">
    <xf numFmtId="0" fontId="0" fillId="0" borderId="0"/>
    <xf numFmtId="0" fontId="1" fillId="2" borderId="0" applyNumberFormat="0" applyBorder="0" applyAlignment="0" applyProtection="0"/>
    <xf numFmtId="0" fontId="2" fillId="0" borderId="0"/>
    <xf numFmtId="0" fontId="7" fillId="0" borderId="0"/>
  </cellStyleXfs>
  <cellXfs count="158">
    <xf numFmtId="0" fontId="0" fillId="0" borderId="0" xfId="0"/>
    <xf numFmtId="0" fontId="2" fillId="3" borderId="3" xfId="2" applyFill="1" applyBorder="1" applyAlignment="1">
      <alignment vertical="top"/>
    </xf>
    <xf numFmtId="0" fontId="2" fillId="0" borderId="4" xfId="2" applyBorder="1" applyAlignment="1">
      <alignment vertical="top"/>
    </xf>
    <xf numFmtId="0" fontId="2" fillId="0" borderId="4" xfId="0" applyFont="1" applyBorder="1" applyAlignment="1">
      <alignment vertical="top"/>
    </xf>
    <xf numFmtId="0" fontId="0" fillId="0" borderId="0" xfId="0" applyAlignment="1">
      <alignment vertical="center"/>
    </xf>
    <xf numFmtId="0" fontId="4" fillId="3" borderId="1" xfId="2" applyFont="1" applyFill="1" applyBorder="1" applyAlignment="1">
      <alignment vertical="top"/>
    </xf>
    <xf numFmtId="0" fontId="2" fillId="0" borderId="1" xfId="0" applyFont="1" applyBorder="1" applyAlignment="1">
      <alignment vertical="top"/>
    </xf>
    <xf numFmtId="0" fontId="2" fillId="0" borderId="1" xfId="0" applyFont="1" applyBorder="1" applyAlignment="1">
      <alignment vertical="center"/>
    </xf>
    <xf numFmtId="0" fontId="5" fillId="0" borderId="5" xfId="0" applyFont="1" applyBorder="1" applyAlignment="1">
      <alignment vertical="top"/>
    </xf>
    <xf numFmtId="0" fontId="4" fillId="5" borderId="4" xfId="2" applyFont="1" applyFill="1" applyBorder="1" applyAlignment="1">
      <alignment vertical="top"/>
    </xf>
    <xf numFmtId="0" fontId="2" fillId="3" borderId="1" xfId="2" applyFill="1" applyBorder="1" applyAlignment="1">
      <alignment vertical="top"/>
    </xf>
    <xf numFmtId="0" fontId="6" fillId="6" borderId="1" xfId="2" applyFont="1" applyFill="1" applyBorder="1" applyAlignment="1">
      <alignment horizontal="center" vertical="top"/>
    </xf>
    <xf numFmtId="0" fontId="8" fillId="7" borderId="4" xfId="3" applyFont="1" applyFill="1" applyBorder="1" applyAlignment="1">
      <alignment horizontal="center" vertical="top"/>
    </xf>
    <xf numFmtId="0" fontId="6" fillId="6" borderId="5" xfId="2" applyFont="1" applyFill="1" applyBorder="1" applyAlignment="1">
      <alignment horizontal="center" vertical="top"/>
    </xf>
    <xf numFmtId="0" fontId="2" fillId="5" borderId="4" xfId="2" applyFill="1" applyBorder="1" applyAlignment="1">
      <alignment vertical="top"/>
    </xf>
    <xf numFmtId="0" fontId="5" fillId="9" borderId="1" xfId="2" applyFont="1" applyFill="1" applyBorder="1" applyAlignment="1">
      <alignment horizontal="center" vertical="center"/>
    </xf>
    <xf numFmtId="0" fontId="10" fillId="0" borderId="1" xfId="2" applyFont="1" applyBorder="1" applyAlignment="1">
      <alignment horizontal="left" vertical="center" wrapText="1"/>
    </xf>
    <xf numFmtId="0" fontId="11" fillId="10" borderId="4" xfId="2" applyFont="1" applyFill="1" applyBorder="1" applyAlignment="1">
      <alignment horizontal="center" vertical="center"/>
    </xf>
    <xf numFmtId="1" fontId="2" fillId="0" borderId="4" xfId="2" applyNumberFormat="1" applyBorder="1" applyAlignment="1">
      <alignment vertical="top"/>
    </xf>
    <xf numFmtId="0" fontId="2" fillId="3" borderId="5" xfId="2" applyFill="1" applyBorder="1" applyAlignment="1">
      <alignment vertical="top"/>
    </xf>
    <xf numFmtId="0" fontId="5" fillId="9" borderId="2" xfId="2" applyFont="1" applyFill="1" applyBorder="1" applyAlignment="1">
      <alignment horizontal="center" vertical="center"/>
    </xf>
    <xf numFmtId="0" fontId="11" fillId="10" borderId="5" xfId="2" applyFont="1" applyFill="1" applyBorder="1" applyAlignment="1">
      <alignment horizontal="center" vertical="center"/>
    </xf>
    <xf numFmtId="0" fontId="11" fillId="10" borderId="13" xfId="2" applyFont="1" applyFill="1" applyBorder="1" applyAlignment="1">
      <alignment horizontal="center" vertical="center"/>
    </xf>
    <xf numFmtId="0" fontId="2" fillId="10" borderId="14" xfId="2" applyFill="1" applyBorder="1" applyAlignment="1">
      <alignment vertical="top"/>
    </xf>
    <xf numFmtId="0" fontId="10" fillId="0" borderId="12" xfId="0" applyFont="1" applyBorder="1" applyAlignment="1">
      <alignment horizontal="left" vertical="center" wrapText="1"/>
    </xf>
    <xf numFmtId="0" fontId="5" fillId="9" borderId="15" xfId="2" applyFont="1" applyFill="1" applyBorder="1" applyAlignment="1">
      <alignment horizontal="center" vertical="center"/>
    </xf>
    <xf numFmtId="0" fontId="2" fillId="10" borderId="14" xfId="2" applyFill="1" applyBorder="1" applyAlignment="1">
      <alignment vertical="center" wrapText="1"/>
    </xf>
    <xf numFmtId="0" fontId="5" fillId="9" borderId="4" xfId="2" applyFont="1" applyFill="1" applyBorder="1" applyAlignment="1">
      <alignment horizontal="center" vertical="center"/>
    </xf>
    <xf numFmtId="0" fontId="10" fillId="0" borderId="11" xfId="0" applyFont="1" applyBorder="1" applyAlignment="1">
      <alignment horizontal="left" vertical="center" wrapText="1"/>
    </xf>
    <xf numFmtId="0" fontId="10" fillId="0" borderId="14" xfId="0" applyFont="1" applyBorder="1" applyAlignment="1">
      <alignment horizontal="left" vertical="center" wrapText="1"/>
    </xf>
    <xf numFmtId="0" fontId="10" fillId="0" borderId="3" xfId="0" applyFont="1" applyBorder="1" applyAlignment="1">
      <alignment wrapText="1"/>
    </xf>
    <xf numFmtId="0" fontId="5" fillId="9" borderId="10" xfId="2" applyFont="1" applyFill="1" applyBorder="1" applyAlignment="1">
      <alignment horizontal="center" vertical="center"/>
    </xf>
    <xf numFmtId="0" fontId="5" fillId="10" borderId="10" xfId="2" applyFont="1" applyFill="1" applyBorder="1" applyAlignment="1">
      <alignment horizontal="center" vertical="center"/>
    </xf>
    <xf numFmtId="0" fontId="0" fillId="0" borderId="4" xfId="0" applyBorder="1" applyAlignment="1">
      <alignment wrapText="1"/>
    </xf>
    <xf numFmtId="0" fontId="5" fillId="9" borderId="16" xfId="2" applyFont="1" applyFill="1" applyBorder="1" applyAlignment="1">
      <alignment horizontal="center" vertical="center"/>
    </xf>
    <xf numFmtId="0" fontId="10" fillId="0" borderId="1" xfId="0" applyFont="1" applyBorder="1" applyAlignment="1">
      <alignment vertical="center" wrapText="1"/>
    </xf>
    <xf numFmtId="0" fontId="10" fillId="0" borderId="16" xfId="0" applyFont="1" applyBorder="1" applyAlignment="1">
      <alignment horizontal="left" vertical="center" wrapText="1"/>
    </xf>
    <xf numFmtId="0" fontId="10" fillId="0" borderId="1" xfId="0" applyFont="1" applyBorder="1" applyAlignment="1">
      <alignment vertical="center"/>
    </xf>
    <xf numFmtId="0" fontId="11" fillId="10" borderId="1" xfId="2" applyFont="1" applyFill="1" applyBorder="1" applyAlignment="1">
      <alignment horizontal="center" vertical="center"/>
    </xf>
    <xf numFmtId="0" fontId="10" fillId="11" borderId="2" xfId="0" quotePrefix="1" applyFont="1" applyFill="1" applyBorder="1" applyAlignment="1">
      <alignment horizontal="left" vertical="center" wrapText="1"/>
    </xf>
    <xf numFmtId="0" fontId="2" fillId="10" borderId="14" xfId="2" applyFill="1" applyBorder="1" applyAlignment="1">
      <alignment vertical="top" wrapText="1"/>
    </xf>
    <xf numFmtId="0" fontId="11" fillId="10" borderId="14" xfId="2" applyFont="1" applyFill="1" applyBorder="1" applyAlignment="1">
      <alignment horizontal="center" vertical="center"/>
    </xf>
    <xf numFmtId="0" fontId="2" fillId="3" borderId="4" xfId="2" applyFill="1" applyBorder="1" applyAlignment="1">
      <alignment vertical="top"/>
    </xf>
    <xf numFmtId="0" fontId="0" fillId="0" borderId="4" xfId="0" applyBorder="1" applyAlignment="1">
      <alignment vertical="center"/>
    </xf>
    <xf numFmtId="0" fontId="2" fillId="3" borderId="10" xfId="2" applyFill="1" applyBorder="1" applyAlignment="1">
      <alignment vertical="top"/>
    </xf>
    <xf numFmtId="0" fontId="10" fillId="11" borderId="1" xfId="0" quotePrefix="1" applyFont="1" applyFill="1" applyBorder="1" applyAlignment="1">
      <alignment horizontal="left" vertical="center" wrapText="1"/>
    </xf>
    <xf numFmtId="0" fontId="10" fillId="9" borderId="4" xfId="2" applyFont="1" applyFill="1" applyBorder="1" applyAlignment="1">
      <alignment vertical="center"/>
    </xf>
    <xf numFmtId="0" fontId="2" fillId="10" borderId="4" xfId="2" applyFill="1" applyBorder="1" applyAlignment="1">
      <alignment horizontal="center" vertical="center"/>
    </xf>
    <xf numFmtId="2" fontId="2" fillId="9" borderId="3" xfId="2" applyNumberFormat="1" applyFill="1" applyBorder="1" applyAlignment="1">
      <alignment vertical="top"/>
    </xf>
    <xf numFmtId="0" fontId="2" fillId="9" borderId="4" xfId="2" applyFill="1" applyBorder="1" applyAlignment="1">
      <alignment vertical="top"/>
    </xf>
    <xf numFmtId="0" fontId="10" fillId="9" borderId="4" xfId="2" applyFont="1" applyFill="1" applyBorder="1" applyAlignment="1">
      <alignment vertical="top"/>
    </xf>
    <xf numFmtId="0" fontId="4" fillId="9" borderId="4" xfId="2" applyFont="1" applyFill="1" applyBorder="1" applyAlignment="1">
      <alignment horizontal="center" vertical="center"/>
    </xf>
    <xf numFmtId="0" fontId="2" fillId="9" borderId="4" xfId="2" applyFill="1" applyBorder="1" applyAlignment="1">
      <alignment vertical="center"/>
    </xf>
    <xf numFmtId="0" fontId="12" fillId="2" borderId="4" xfId="1" applyFont="1" applyBorder="1" applyAlignment="1">
      <alignment horizontal="right" vertical="top"/>
    </xf>
    <xf numFmtId="0" fontId="13" fillId="12" borderId="4" xfId="2" applyFont="1" applyFill="1" applyBorder="1" applyAlignment="1">
      <alignment vertical="center"/>
    </xf>
    <xf numFmtId="0" fontId="2" fillId="13" borderId="4" xfId="2" applyFill="1" applyBorder="1" applyAlignment="1">
      <alignment vertical="top"/>
    </xf>
    <xf numFmtId="2" fontId="2" fillId="9" borderId="4" xfId="2" applyNumberFormat="1" applyFill="1" applyBorder="1" applyAlignment="1">
      <alignment vertical="top"/>
    </xf>
    <xf numFmtId="0" fontId="2" fillId="0" borderId="4" xfId="2" applyBorder="1" applyAlignment="1">
      <alignment vertical="center"/>
    </xf>
    <xf numFmtId="2" fontId="2" fillId="0" borderId="4" xfId="2" applyNumberFormat="1" applyBorder="1" applyAlignment="1">
      <alignment vertical="top"/>
    </xf>
    <xf numFmtId="0" fontId="14" fillId="14" borderId="4" xfId="0" applyFont="1" applyFill="1" applyBorder="1" applyAlignment="1">
      <alignment vertical="center"/>
    </xf>
    <xf numFmtId="2" fontId="0" fillId="0" borderId="4" xfId="0" applyNumberFormat="1" applyBorder="1" applyAlignment="1">
      <alignment vertical="center"/>
    </xf>
    <xf numFmtId="2" fontId="4" fillId="0" borderId="4" xfId="2" applyNumberFormat="1" applyFont="1" applyBorder="1" applyAlignment="1">
      <alignment vertical="top"/>
    </xf>
    <xf numFmtId="0" fontId="4" fillId="15" borderId="4" xfId="2" applyFont="1" applyFill="1" applyBorder="1" applyAlignment="1">
      <alignment horizontal="center" vertical="top"/>
    </xf>
    <xf numFmtId="2" fontId="4" fillId="15" borderId="4" xfId="2" applyNumberFormat="1" applyFont="1" applyFill="1" applyBorder="1" applyAlignment="1">
      <alignment vertical="top"/>
    </xf>
    <xf numFmtId="0" fontId="2" fillId="16" borderId="4" xfId="2" applyFill="1" applyBorder="1" applyAlignment="1">
      <alignment vertical="top"/>
    </xf>
    <xf numFmtId="0" fontId="4" fillId="16" borderId="4" xfId="2" applyFont="1" applyFill="1" applyBorder="1" applyAlignment="1">
      <alignment vertical="top"/>
    </xf>
    <xf numFmtId="0" fontId="4" fillId="16" borderId="4" xfId="2" applyFont="1" applyFill="1" applyBorder="1" applyAlignment="1">
      <alignment horizontal="center" vertical="top"/>
    </xf>
    <xf numFmtId="0" fontId="2" fillId="8" borderId="4" xfId="2" applyFill="1" applyBorder="1" applyAlignment="1">
      <alignment vertical="top"/>
    </xf>
    <xf numFmtId="1" fontId="2" fillId="8" borderId="4" xfId="2" applyNumberFormat="1" applyFill="1" applyBorder="1" applyAlignment="1">
      <alignment horizontal="center" vertical="top"/>
    </xf>
    <xf numFmtId="2" fontId="2" fillId="8" borderId="4" xfId="2" applyNumberFormat="1" applyFill="1" applyBorder="1" applyAlignment="1">
      <alignment vertical="top"/>
    </xf>
    <xf numFmtId="1" fontId="2" fillId="17" borderId="4" xfId="2" applyNumberFormat="1" applyFill="1" applyBorder="1" applyAlignment="1">
      <alignment horizontal="center" vertical="top"/>
    </xf>
    <xf numFmtId="0" fontId="2" fillId="8" borderId="4" xfId="2" applyFill="1" applyBorder="1" applyAlignment="1">
      <alignment horizontal="center" vertical="top"/>
    </xf>
    <xf numFmtId="0" fontId="4" fillId="15" borderId="4" xfId="2" applyFont="1" applyFill="1" applyBorder="1" applyAlignment="1">
      <alignment vertical="top"/>
    </xf>
    <xf numFmtId="0" fontId="4" fillId="15" borderId="4" xfId="2" applyFont="1" applyFill="1" applyBorder="1" applyAlignment="1">
      <alignment horizontal="right" vertical="top"/>
    </xf>
    <xf numFmtId="0" fontId="15" fillId="18" borderId="4" xfId="2" applyFont="1" applyFill="1" applyBorder="1" applyAlignment="1">
      <alignment vertical="top"/>
    </xf>
    <xf numFmtId="0" fontId="14" fillId="18" borderId="4" xfId="2" applyFont="1" applyFill="1" applyBorder="1" applyAlignment="1">
      <alignment horizontal="center" vertical="top" wrapText="1"/>
    </xf>
    <xf numFmtId="2" fontId="15" fillId="18" borderId="4" xfId="2" applyNumberFormat="1" applyFont="1" applyFill="1" applyBorder="1" applyAlignment="1">
      <alignment horizontal="right" vertical="top" wrapText="1"/>
    </xf>
    <xf numFmtId="2" fontId="15" fillId="0" borderId="4" xfId="2" applyNumberFormat="1" applyFont="1" applyBorder="1" applyAlignment="1">
      <alignment horizontal="right" vertical="top" wrapText="1"/>
    </xf>
    <xf numFmtId="0" fontId="4" fillId="0" borderId="4" xfId="2" applyFont="1" applyBorder="1" applyAlignment="1">
      <alignment horizontal="right" vertical="top"/>
    </xf>
    <xf numFmtId="0" fontId="7" fillId="0" borderId="0" xfId="0" applyFont="1" applyAlignment="1">
      <alignment vertical="center"/>
    </xf>
    <xf numFmtId="0" fontId="9" fillId="9" borderId="12" xfId="2" applyFont="1" applyFill="1" applyBorder="1" applyAlignment="1">
      <alignment vertical="center" wrapText="1"/>
    </xf>
    <xf numFmtId="0" fontId="9" fillId="9" borderId="4" xfId="2" applyFont="1" applyFill="1" applyBorder="1" applyAlignment="1">
      <alignment vertical="center" wrapText="1"/>
    </xf>
    <xf numFmtId="0" fontId="10" fillId="0" borderId="4" xfId="0" applyFont="1" applyBorder="1" applyAlignment="1">
      <alignment wrapText="1"/>
    </xf>
    <xf numFmtId="0" fontId="10" fillId="0" borderId="4" xfId="0" applyFont="1" applyBorder="1" applyAlignment="1">
      <alignment vertical="center" wrapText="1"/>
    </xf>
    <xf numFmtId="0" fontId="10" fillId="0" borderId="4" xfId="2" applyFont="1" applyBorder="1" applyAlignment="1">
      <alignment vertical="top" wrapText="1"/>
    </xf>
    <xf numFmtId="0" fontId="10" fillId="19" borderId="4" xfId="0" applyFont="1" applyFill="1" applyBorder="1" applyAlignment="1">
      <alignment horizontal="left" vertical="center" wrapText="1"/>
    </xf>
    <xf numFmtId="0" fontId="10" fillId="19" borderId="14" xfId="0" applyFont="1" applyFill="1" applyBorder="1" applyAlignment="1">
      <alignment horizontal="left" vertical="center" wrapText="1"/>
    </xf>
    <xf numFmtId="0" fontId="10" fillId="19" borderId="4" xfId="0" applyFont="1" applyFill="1" applyBorder="1" applyAlignment="1">
      <alignment wrapText="1"/>
    </xf>
    <xf numFmtId="0" fontId="11" fillId="10" borderId="10" xfId="2" applyFont="1" applyFill="1" applyBorder="1" applyAlignment="1">
      <alignment horizontal="center" vertical="center"/>
    </xf>
    <xf numFmtId="0" fontId="0" fillId="0" borderId="0" xfId="0" applyAlignment="1">
      <alignment wrapText="1"/>
    </xf>
    <xf numFmtId="0" fontId="16" fillId="0" borderId="0" xfId="0" applyFont="1" applyAlignment="1">
      <alignment wrapText="1"/>
    </xf>
    <xf numFmtId="0" fontId="16" fillId="0" borderId="0" xfId="0" applyFont="1" applyAlignment="1">
      <alignment horizontal="left" vertical="top" wrapText="1"/>
    </xf>
    <xf numFmtId="0" fontId="17" fillId="10" borderId="14" xfId="2" applyFont="1" applyFill="1" applyBorder="1" applyAlignment="1">
      <alignment vertical="center" wrapText="1"/>
    </xf>
    <xf numFmtId="0" fontId="10" fillId="0" borderId="3" xfId="0" applyFont="1" applyBorder="1" applyAlignment="1">
      <alignment horizontal="left" vertical="center" wrapText="1"/>
    </xf>
    <xf numFmtId="0" fontId="18" fillId="10" borderId="14" xfId="2" applyFont="1" applyFill="1" applyBorder="1" applyAlignment="1">
      <alignment vertical="center" wrapText="1"/>
    </xf>
    <xf numFmtId="0" fontId="10" fillId="0" borderId="0" xfId="0" applyFont="1" applyAlignment="1">
      <alignment horizontal="left" vertical="center" wrapText="1"/>
    </xf>
    <xf numFmtId="0" fontId="2" fillId="10" borderId="11" xfId="2" applyFill="1" applyBorder="1" applyAlignment="1">
      <alignment vertical="center" wrapText="1"/>
    </xf>
    <xf numFmtId="0" fontId="16" fillId="0" borderId="4" xfId="0" applyFont="1" applyBorder="1" applyAlignment="1">
      <alignment horizontal="left" vertical="top" wrapText="1"/>
    </xf>
    <xf numFmtId="0" fontId="5" fillId="9" borderId="6" xfId="2" applyFont="1" applyFill="1" applyBorder="1" applyAlignment="1">
      <alignment horizontal="center" vertical="center"/>
    </xf>
    <xf numFmtId="0" fontId="2" fillId="9" borderId="9" xfId="2" applyFill="1" applyBorder="1" applyAlignment="1">
      <alignment horizontal="center" vertical="center"/>
    </xf>
    <xf numFmtId="0" fontId="2" fillId="9" borderId="4" xfId="2" applyFill="1" applyBorder="1" applyAlignment="1">
      <alignment horizontal="center" vertical="center"/>
    </xf>
    <xf numFmtId="0" fontId="11" fillId="0" borderId="4" xfId="2" applyFont="1" applyBorder="1" applyAlignment="1">
      <alignment horizontal="center" vertical="center"/>
    </xf>
    <xf numFmtId="0" fontId="2" fillId="0" borderId="14" xfId="2" applyBorder="1" applyAlignment="1">
      <alignment vertical="center" wrapText="1"/>
    </xf>
    <xf numFmtId="0" fontId="9" fillId="9" borderId="1" xfId="2" applyFont="1" applyFill="1" applyBorder="1" applyAlignment="1">
      <alignment vertical="center" wrapText="1"/>
    </xf>
    <xf numFmtId="0" fontId="10" fillId="0" borderId="9" xfId="0" applyFont="1" applyBorder="1" applyAlignment="1">
      <alignment vertical="center" wrapText="1"/>
    </xf>
    <xf numFmtId="0" fontId="10" fillId="10" borderId="6" xfId="0" applyFont="1" applyFill="1" applyBorder="1" applyAlignment="1">
      <alignment vertical="center" wrapText="1"/>
    </xf>
    <xf numFmtId="0" fontId="2" fillId="0" borderId="4" xfId="2" applyBorder="1" applyAlignment="1">
      <alignment vertical="center" wrapText="1"/>
    </xf>
    <xf numFmtId="0" fontId="10" fillId="0" borderId="5" xfId="0" applyFont="1" applyBorder="1" applyAlignment="1">
      <alignment vertical="center" wrapText="1"/>
    </xf>
    <xf numFmtId="0" fontId="2" fillId="0" borderId="4" xfId="2" applyBorder="1" applyAlignment="1">
      <alignment vertical="top" wrapText="1"/>
    </xf>
    <xf numFmtId="0" fontId="10" fillId="9" borderId="4" xfId="2" applyFont="1" applyFill="1" applyBorder="1" applyAlignment="1">
      <alignment horizontal="left" vertical="center" wrapText="1"/>
    </xf>
    <xf numFmtId="0" fontId="5" fillId="20" borderId="6" xfId="2" applyFont="1" applyFill="1" applyBorder="1" applyAlignment="1">
      <alignment horizontal="center" vertical="center"/>
    </xf>
    <xf numFmtId="0" fontId="10" fillId="21" borderId="4" xfId="0" applyFont="1" applyFill="1" applyBorder="1" applyAlignment="1">
      <alignment vertical="center" wrapText="1"/>
    </xf>
    <xf numFmtId="0" fontId="10" fillId="21" borderId="3" xfId="0" applyFont="1" applyFill="1" applyBorder="1" applyAlignment="1">
      <alignment wrapText="1"/>
    </xf>
    <xf numFmtId="0" fontId="11" fillId="21" borderId="13" xfId="2" applyFont="1" applyFill="1" applyBorder="1" applyAlignment="1">
      <alignment horizontal="center" vertical="center"/>
    </xf>
    <xf numFmtId="0" fontId="11" fillId="21" borderId="4" xfId="2" applyFont="1" applyFill="1" applyBorder="1" applyAlignment="1">
      <alignment horizontal="center" vertical="center"/>
    </xf>
    <xf numFmtId="0" fontId="2" fillId="21" borderId="0" xfId="2" applyFill="1" applyAlignment="1">
      <alignment vertical="center" wrapText="1"/>
    </xf>
    <xf numFmtId="0" fontId="18" fillId="10" borderId="12" xfId="2" applyFont="1" applyFill="1" applyBorder="1" applyAlignment="1">
      <alignment vertical="center" wrapText="1"/>
    </xf>
    <xf numFmtId="0" fontId="2" fillId="10" borderId="12" xfId="2" applyFill="1" applyBorder="1" applyAlignment="1">
      <alignment vertical="center" wrapText="1"/>
    </xf>
    <xf numFmtId="0" fontId="2" fillId="10" borderId="4" xfId="2" applyFill="1" applyBorder="1" applyAlignment="1">
      <alignment vertical="center" wrapText="1"/>
    </xf>
    <xf numFmtId="0" fontId="2" fillId="10" borderId="17" xfId="2" applyFill="1" applyBorder="1" applyAlignment="1">
      <alignment vertical="top" wrapText="1"/>
    </xf>
    <xf numFmtId="0" fontId="2" fillId="10" borderId="17" xfId="2" applyFill="1" applyBorder="1" applyAlignment="1">
      <alignment vertical="top"/>
    </xf>
    <xf numFmtId="0" fontId="5" fillId="9" borderId="18" xfId="2" applyFont="1" applyFill="1" applyBorder="1" applyAlignment="1">
      <alignment horizontal="center" vertical="center"/>
    </xf>
    <xf numFmtId="0" fontId="10" fillId="10" borderId="18" xfId="0" applyFont="1" applyFill="1" applyBorder="1" applyAlignment="1">
      <alignment vertical="center" wrapText="1"/>
    </xf>
    <xf numFmtId="0" fontId="10" fillId="0" borderId="8" xfId="0" applyFont="1" applyBorder="1" applyAlignment="1">
      <alignment wrapText="1"/>
    </xf>
    <xf numFmtId="0" fontId="11" fillId="10" borderId="15" xfId="2" applyFont="1" applyFill="1" applyBorder="1" applyAlignment="1">
      <alignment horizontal="center" vertical="center"/>
    </xf>
    <xf numFmtId="0" fontId="11" fillId="10" borderId="8" xfId="2" applyFont="1" applyFill="1" applyBorder="1" applyAlignment="1">
      <alignment horizontal="center" vertical="center"/>
    </xf>
    <xf numFmtId="0" fontId="5" fillId="9" borderId="19" xfId="2" applyFont="1" applyFill="1" applyBorder="1" applyAlignment="1">
      <alignment horizontal="center" vertical="center"/>
    </xf>
    <xf numFmtId="0" fontId="10" fillId="0" borderId="20" xfId="0" applyFont="1" applyBorder="1" applyAlignment="1">
      <alignment wrapText="1"/>
    </xf>
    <xf numFmtId="0" fontId="11" fillId="10" borderId="21" xfId="2" applyFont="1" applyFill="1" applyBorder="1" applyAlignment="1">
      <alignment horizontal="center" vertical="center"/>
    </xf>
    <xf numFmtId="0" fontId="11" fillId="10" borderId="9" xfId="2" applyFont="1" applyFill="1" applyBorder="1" applyAlignment="1">
      <alignment horizontal="center" vertical="center"/>
    </xf>
    <xf numFmtId="0" fontId="10" fillId="10" borderId="4" xfId="0" applyFont="1" applyFill="1" applyBorder="1" applyAlignment="1">
      <alignment vertical="center" wrapText="1"/>
    </xf>
    <xf numFmtId="0" fontId="18" fillId="10" borderId="4" xfId="2" applyFont="1" applyFill="1" applyBorder="1" applyAlignment="1">
      <alignment vertical="center" wrapText="1"/>
    </xf>
    <xf numFmtId="0" fontId="10" fillId="0" borderId="4" xfId="0" applyFont="1" applyBorder="1" applyAlignment="1">
      <alignment horizontal="left" vertical="center" wrapText="1"/>
    </xf>
    <xf numFmtId="0" fontId="11" fillId="19" borderId="4" xfId="2" applyFont="1" applyFill="1" applyBorder="1" applyAlignment="1">
      <alignment horizontal="center" vertical="center"/>
    </xf>
    <xf numFmtId="0" fontId="11" fillId="22" borderId="4" xfId="2" applyFont="1" applyFill="1" applyBorder="1" applyAlignment="1">
      <alignment horizontal="center" vertical="center"/>
    </xf>
    <xf numFmtId="0" fontId="16" fillId="0" borderId="4" xfId="0" applyFont="1" applyBorder="1"/>
    <xf numFmtId="0" fontId="11" fillId="23" borderId="5" xfId="2" applyFont="1" applyFill="1" applyBorder="1" applyAlignment="1">
      <alignment horizontal="center" vertical="center"/>
    </xf>
    <xf numFmtId="0" fontId="10" fillId="0" borderId="22" xfId="0" applyFont="1" applyBorder="1" applyAlignment="1">
      <alignment horizontal="left" vertical="center" wrapText="1"/>
    </xf>
    <xf numFmtId="0" fontId="11" fillId="10" borderId="23" xfId="2" applyFont="1" applyFill="1" applyBorder="1" applyAlignment="1">
      <alignment horizontal="center" vertical="center"/>
    </xf>
    <xf numFmtId="0" fontId="16" fillId="0" borderId="4" xfId="0" applyFont="1" applyBorder="1" applyAlignment="1">
      <alignment vertical="top" wrapText="1"/>
    </xf>
    <xf numFmtId="0" fontId="11" fillId="23" borderId="4" xfId="2" applyFont="1" applyFill="1" applyBorder="1" applyAlignment="1">
      <alignment horizontal="center" vertical="center"/>
    </xf>
    <xf numFmtId="0" fontId="10" fillId="19" borderId="4" xfId="0" applyFont="1" applyFill="1" applyBorder="1" applyAlignment="1">
      <alignment vertical="center" wrapText="1"/>
    </xf>
    <xf numFmtId="0" fontId="4" fillId="15" borderId="4" xfId="2" applyFont="1" applyFill="1" applyBorder="1" applyAlignment="1">
      <alignment horizontal="right" vertical="top"/>
    </xf>
    <xf numFmtId="0" fontId="14" fillId="14" borderId="4" xfId="0" applyFont="1" applyFill="1" applyBorder="1" applyAlignment="1">
      <alignment horizontal="center" vertical="center"/>
    </xf>
    <xf numFmtId="0" fontId="2" fillId="0" borderId="4" xfId="0" applyFont="1" applyBorder="1" applyAlignment="1">
      <alignment horizontal="left" vertical="top"/>
    </xf>
    <xf numFmtId="0" fontId="0" fillId="0" borderId="4" xfId="0" applyBorder="1" applyAlignment="1">
      <alignment horizontal="center" vertical="center"/>
    </xf>
    <xf numFmtId="0" fontId="4" fillId="15" borderId="4" xfId="2" applyFont="1" applyFill="1" applyBorder="1" applyAlignment="1">
      <alignment horizontal="center" vertical="top"/>
    </xf>
    <xf numFmtId="0" fontId="3" fillId="0" borderId="1" xfId="2" applyFont="1" applyBorder="1" applyAlignment="1">
      <alignment horizontal="center" vertical="top"/>
    </xf>
    <xf numFmtId="0" fontId="3" fillId="0" borderId="2" xfId="2" applyFont="1" applyBorder="1" applyAlignment="1">
      <alignment horizontal="center" vertical="top"/>
    </xf>
    <xf numFmtId="0" fontId="6" fillId="4" borderId="6" xfId="2" applyFont="1" applyFill="1" applyBorder="1" applyAlignment="1">
      <alignment horizontal="center" vertical="top" wrapText="1"/>
    </xf>
    <xf numFmtId="0" fontId="6" fillId="4" borderId="7" xfId="2" applyFont="1" applyFill="1" applyBorder="1" applyAlignment="1">
      <alignment horizontal="center" vertical="top" wrapText="1"/>
    </xf>
    <xf numFmtId="0" fontId="6" fillId="4" borderId="3" xfId="2" applyFont="1" applyFill="1" applyBorder="1" applyAlignment="1">
      <alignment horizontal="center" vertical="top" wrapText="1"/>
    </xf>
    <xf numFmtId="0" fontId="6" fillId="4" borderId="4" xfId="2" applyFont="1" applyFill="1" applyBorder="1" applyAlignment="1">
      <alignment horizontal="center" vertical="center" wrapText="1"/>
    </xf>
    <xf numFmtId="0" fontId="6" fillId="4" borderId="4" xfId="2" applyFont="1" applyFill="1" applyBorder="1" applyAlignment="1">
      <alignment horizontal="center" vertical="center"/>
    </xf>
    <xf numFmtId="0" fontId="6" fillId="4" borderId="8" xfId="2" applyFont="1" applyFill="1" applyBorder="1" applyAlignment="1">
      <alignment horizontal="center" vertical="center"/>
    </xf>
    <xf numFmtId="0" fontId="6" fillId="4" borderId="9" xfId="2" applyFont="1" applyFill="1" applyBorder="1" applyAlignment="1">
      <alignment horizontal="center" vertical="center"/>
    </xf>
    <xf numFmtId="0" fontId="6" fillId="8" borderId="1" xfId="2" applyFont="1" applyFill="1" applyBorder="1" applyAlignment="1">
      <alignment horizontal="center" vertical="top"/>
    </xf>
    <xf numFmtId="0" fontId="6" fillId="8" borderId="5" xfId="2" applyFont="1" applyFill="1" applyBorder="1" applyAlignment="1">
      <alignment horizontal="center" vertical="top"/>
    </xf>
  </cellXfs>
  <cellStyles count="4">
    <cellStyle name="Excel Built-in Normal" xfId="2" xr:uid="{81BFE9A4-4A3C-4F65-AD2B-0CAA6C43215F}"/>
    <cellStyle name="Excel Built-in Normal 2" xfId="3" xr:uid="{BF4896AB-1C5D-4861-BD48-2D2D60E18E4D}"/>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5421-B138-4697-9C82-77A629A579B6}">
  <dimension ref="A1:G26"/>
  <sheetViews>
    <sheetView tabSelected="1" topLeftCell="A2" workbookViewId="0">
      <selection activeCell="C38" sqref="C38"/>
    </sheetView>
  </sheetViews>
  <sheetFormatPr defaultColWidth="8.85546875" defaultRowHeight="15" x14ac:dyDescent="0.25"/>
  <cols>
    <col min="1" max="1" width="5.85546875" style="4" customWidth="1"/>
    <col min="2" max="2" width="32.85546875" style="4" customWidth="1"/>
    <col min="3" max="3" width="8.85546875" style="4"/>
    <col min="4" max="4" width="58.7109375" style="4" customWidth="1"/>
    <col min="5" max="5" width="16.42578125" style="4" customWidth="1"/>
    <col min="6" max="6" width="12.7109375" style="4" customWidth="1"/>
    <col min="7" max="7" width="9.140625" style="4" customWidth="1"/>
    <col min="8" max="16384" width="8.85546875" style="4"/>
  </cols>
  <sheetData>
    <row r="1" spans="1:7" x14ac:dyDescent="0.25">
      <c r="A1" s="59" t="s">
        <v>9</v>
      </c>
      <c r="B1" s="143" t="s">
        <v>10</v>
      </c>
      <c r="C1" s="143"/>
      <c r="D1" s="143"/>
      <c r="E1" s="59" t="s">
        <v>11</v>
      </c>
      <c r="F1" s="59" t="s">
        <v>6</v>
      </c>
      <c r="G1" s="59" t="s">
        <v>7</v>
      </c>
    </row>
    <row r="2" spans="1:7" x14ac:dyDescent="0.25">
      <c r="A2" s="43">
        <v>1</v>
      </c>
      <c r="B2" s="144" t="s">
        <v>69</v>
      </c>
      <c r="C2" s="144"/>
      <c r="D2" s="144"/>
      <c r="E2" s="60">
        <f>SUM(F2,G2)</f>
        <v>1604</v>
      </c>
      <c r="F2" s="61">
        <f>'Feature Listing'!F94</f>
        <v>640</v>
      </c>
      <c r="G2" s="60">
        <f>'Feature Listing'!G94</f>
        <v>964</v>
      </c>
    </row>
    <row r="3" spans="1:7" x14ac:dyDescent="0.25">
      <c r="A3" s="43"/>
      <c r="B3" s="144"/>
      <c r="C3" s="144"/>
      <c r="D3" s="144"/>
      <c r="E3" s="60">
        <f>SUM(F3,G3)</f>
        <v>0</v>
      </c>
      <c r="F3" s="61"/>
      <c r="G3" s="60">
        <v>0</v>
      </c>
    </row>
    <row r="4" spans="1:7" x14ac:dyDescent="0.25">
      <c r="A4" s="43"/>
      <c r="B4" s="144"/>
      <c r="C4" s="144"/>
      <c r="D4" s="144"/>
      <c r="E4" s="60">
        <v>0</v>
      </c>
      <c r="F4" s="60">
        <v>0</v>
      </c>
      <c r="G4" s="60">
        <v>0</v>
      </c>
    </row>
    <row r="5" spans="1:7" x14ac:dyDescent="0.25">
      <c r="A5" s="43"/>
      <c r="B5" s="145"/>
      <c r="C5" s="145"/>
      <c r="D5" s="145"/>
      <c r="E5" s="43"/>
      <c r="F5" s="43"/>
      <c r="G5" s="43"/>
    </row>
    <row r="6" spans="1:7" x14ac:dyDescent="0.25">
      <c r="A6" s="146" t="s">
        <v>11</v>
      </c>
      <c r="B6" s="146"/>
      <c r="C6" s="146"/>
      <c r="D6" s="146"/>
      <c r="E6" s="63">
        <f>SUM(F6:G6)</f>
        <v>1604</v>
      </c>
      <c r="F6" s="61">
        <f>SUM(F2:F5)</f>
        <v>640</v>
      </c>
      <c r="G6" s="61">
        <f>SUM(G2:G4)</f>
        <v>964</v>
      </c>
    </row>
    <row r="7" spans="1:7" x14ac:dyDescent="0.25">
      <c r="A7" s="64"/>
      <c r="B7" s="65" t="s">
        <v>12</v>
      </c>
      <c r="C7" s="65"/>
      <c r="D7" s="66" t="s">
        <v>13</v>
      </c>
      <c r="E7" s="64"/>
      <c r="F7" s="64"/>
      <c r="G7" s="64"/>
    </row>
    <row r="8" spans="1:7" x14ac:dyDescent="0.25">
      <c r="A8" s="67">
        <v>1</v>
      </c>
      <c r="B8" s="67" t="s">
        <v>14</v>
      </c>
      <c r="C8" s="67"/>
      <c r="D8" s="68">
        <v>5</v>
      </c>
      <c r="E8" s="69">
        <f>E6*D8/100</f>
        <v>80.2</v>
      </c>
      <c r="F8" s="58"/>
      <c r="G8" s="58"/>
    </row>
    <row r="9" spans="1:7" x14ac:dyDescent="0.25">
      <c r="A9" s="67">
        <v>2</v>
      </c>
      <c r="B9" s="67" t="s">
        <v>15</v>
      </c>
      <c r="C9" s="67"/>
      <c r="D9" s="68">
        <v>5</v>
      </c>
      <c r="E9" s="69">
        <f>E6*D9/100</f>
        <v>80.2</v>
      </c>
      <c r="F9" s="58"/>
      <c r="G9" s="58"/>
    </row>
    <row r="10" spans="1:7" x14ac:dyDescent="0.25">
      <c r="A10" s="67">
        <v>3</v>
      </c>
      <c r="B10" s="67" t="s">
        <v>16</v>
      </c>
      <c r="C10" s="67"/>
      <c r="D10" s="68">
        <v>0</v>
      </c>
      <c r="E10" s="69">
        <f>E6*D10/100</f>
        <v>0</v>
      </c>
      <c r="F10" s="58"/>
      <c r="G10" s="58"/>
    </row>
    <row r="11" spans="1:7" x14ac:dyDescent="0.25">
      <c r="A11" s="67">
        <v>4</v>
      </c>
      <c r="B11" s="67" t="s">
        <v>17</v>
      </c>
      <c r="C11" s="67"/>
      <c r="D11" s="68">
        <v>5</v>
      </c>
      <c r="E11" s="69">
        <f>(E6*D11)/100</f>
        <v>80.2</v>
      </c>
      <c r="F11" s="58"/>
      <c r="G11" s="58"/>
    </row>
    <row r="12" spans="1:7" x14ac:dyDescent="0.25">
      <c r="A12" s="67">
        <v>5</v>
      </c>
      <c r="B12" s="67" t="s">
        <v>18</v>
      </c>
      <c r="C12" s="67"/>
      <c r="D12" s="70">
        <v>5</v>
      </c>
      <c r="E12" s="69">
        <f>E6*D12/100</f>
        <v>80.2</v>
      </c>
      <c r="F12" s="58"/>
      <c r="G12" s="58"/>
    </row>
    <row r="13" spans="1:7" x14ac:dyDescent="0.25">
      <c r="A13" s="67">
        <v>6</v>
      </c>
      <c r="B13" s="67" t="s">
        <v>19</v>
      </c>
      <c r="C13" s="67"/>
      <c r="D13" s="70">
        <v>20</v>
      </c>
      <c r="E13" s="69">
        <f>E6*D13/100</f>
        <v>320.8</v>
      </c>
      <c r="F13" s="58"/>
      <c r="G13" s="58"/>
    </row>
    <row r="14" spans="1:7" x14ac:dyDescent="0.25">
      <c r="A14" s="67">
        <v>7</v>
      </c>
      <c r="B14" s="67" t="s">
        <v>106</v>
      </c>
      <c r="C14" s="67"/>
      <c r="D14" s="71">
        <v>0</v>
      </c>
      <c r="E14" s="69">
        <f>E6*D14/100</f>
        <v>0</v>
      </c>
      <c r="F14" s="58"/>
      <c r="G14" s="58"/>
    </row>
    <row r="15" spans="1:7" x14ac:dyDescent="0.25">
      <c r="A15" s="67"/>
      <c r="B15" s="67"/>
      <c r="C15" s="67"/>
      <c r="D15" s="71"/>
      <c r="E15" s="69"/>
      <c r="F15" s="58"/>
      <c r="G15" s="58"/>
    </row>
    <row r="16" spans="1:7" x14ac:dyDescent="0.25">
      <c r="A16" s="72"/>
      <c r="B16" s="142" t="s">
        <v>20</v>
      </c>
      <c r="C16" s="142"/>
      <c r="D16" s="62"/>
      <c r="E16" s="63">
        <f>SUM(E6:E15)</f>
        <v>2245.6000000000004</v>
      </c>
      <c r="F16" s="61"/>
      <c r="G16" s="61"/>
    </row>
    <row r="17" spans="1:7" x14ac:dyDescent="0.25">
      <c r="A17" s="67">
        <v>8</v>
      </c>
      <c r="B17" s="67" t="s">
        <v>21</v>
      </c>
      <c r="C17" s="67"/>
      <c r="D17" s="68">
        <v>0</v>
      </c>
      <c r="E17" s="69">
        <f>$F$41*D17%</f>
        <v>0</v>
      </c>
      <c r="F17" s="58"/>
      <c r="G17" s="58"/>
    </row>
    <row r="18" spans="1:7" x14ac:dyDescent="0.25">
      <c r="A18" s="72"/>
      <c r="B18" s="72" t="s">
        <v>22</v>
      </c>
      <c r="C18" s="72"/>
      <c r="D18" s="62"/>
      <c r="E18" s="63">
        <f>E16+E17</f>
        <v>2245.6000000000004</v>
      </c>
      <c r="F18" s="61"/>
      <c r="G18" s="61"/>
    </row>
    <row r="19" spans="1:7" x14ac:dyDescent="0.25">
      <c r="A19" s="74"/>
      <c r="B19" s="74"/>
      <c r="C19" s="74"/>
      <c r="D19" s="75" t="s">
        <v>23</v>
      </c>
      <c r="E19" s="76"/>
      <c r="F19" s="77"/>
      <c r="G19" s="77"/>
    </row>
    <row r="20" spans="1:7" x14ac:dyDescent="0.25">
      <c r="A20" s="72"/>
      <c r="B20" s="72"/>
      <c r="C20" s="72"/>
      <c r="D20" s="62">
        <v>18</v>
      </c>
      <c r="E20" s="73">
        <f>E18*D20</f>
        <v>40420.800000000003</v>
      </c>
      <c r="F20" s="77"/>
      <c r="G20" s="77"/>
    </row>
    <row r="21" spans="1:7" x14ac:dyDescent="0.25">
      <c r="A21" s="72"/>
      <c r="B21" s="72" t="s">
        <v>24</v>
      </c>
      <c r="C21" s="72"/>
      <c r="D21" s="62">
        <v>20</v>
      </c>
      <c r="E21" s="73">
        <f>E18*D21</f>
        <v>44912.000000000007</v>
      </c>
      <c r="F21" s="78"/>
      <c r="G21" s="78"/>
    </row>
    <row r="24" spans="1:7" x14ac:dyDescent="0.25">
      <c r="E24" s="79"/>
      <c r="F24" s="79"/>
    </row>
    <row r="25" spans="1:7" x14ac:dyDescent="0.25">
      <c r="E25" s="79"/>
      <c r="F25" s="79"/>
    </row>
    <row r="26" spans="1:7" x14ac:dyDescent="0.25">
      <c r="E26" s="79"/>
      <c r="F26" s="79"/>
    </row>
  </sheetData>
  <mergeCells count="7">
    <mergeCell ref="B16:C16"/>
    <mergeCell ref="B1:D1"/>
    <mergeCell ref="B2:D2"/>
    <mergeCell ref="B3:D3"/>
    <mergeCell ref="B4:D4"/>
    <mergeCell ref="B5:D5"/>
    <mergeCell ref="A6: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I136"/>
  <sheetViews>
    <sheetView topLeftCell="A14" workbookViewId="0">
      <selection activeCell="D40" sqref="D40"/>
    </sheetView>
  </sheetViews>
  <sheetFormatPr defaultColWidth="12.28515625" defaultRowHeight="15" x14ac:dyDescent="0.25"/>
  <cols>
    <col min="1" max="1" width="2" style="42" customWidth="1"/>
    <col min="2" max="2" width="7.42578125" style="2" customWidth="1"/>
    <col min="3" max="3" width="40.140625" style="57" customWidth="1"/>
    <col min="4" max="4" width="63" style="2" customWidth="1"/>
    <col min="5" max="5" width="22" style="57" customWidth="1"/>
    <col min="6" max="6" width="16.140625" style="57" customWidth="1"/>
    <col min="7" max="7" width="21.140625" style="57" customWidth="1"/>
    <col min="8" max="8" width="73.140625" style="58" customWidth="1"/>
    <col min="9" max="9" width="1.7109375" style="42" customWidth="1"/>
    <col min="10" max="244" width="9.7109375" style="2" customWidth="1"/>
    <col min="245" max="245" width="17.28515625" style="2" customWidth="1"/>
    <col min="246" max="246" width="100" style="2" customWidth="1"/>
    <col min="247" max="247" width="6.42578125" style="2" customWidth="1"/>
    <col min="248" max="248" width="1.7109375" style="2" customWidth="1"/>
    <col min="249" max="249" width="10.42578125" style="2" customWidth="1"/>
    <col min="250" max="250" width="11.42578125" style="2" customWidth="1"/>
    <col min="251" max="1018" width="12.28515625" style="3"/>
    <col min="1019" max="1023" width="10.28515625" style="3" customWidth="1"/>
    <col min="1024" max="16384" width="12.28515625" style="4"/>
  </cols>
  <sheetData>
    <row r="1" spans="1:250" ht="26.25" x14ac:dyDescent="0.25">
      <c r="A1" s="147" t="s">
        <v>25</v>
      </c>
      <c r="B1" s="147"/>
      <c r="C1" s="147"/>
      <c r="D1" s="147"/>
      <c r="E1" s="148"/>
      <c r="F1" s="148"/>
      <c r="G1" s="148"/>
      <c r="H1" s="148"/>
      <c r="I1" s="1"/>
    </row>
    <row r="2" spans="1:250" ht="18.75" customHeight="1" x14ac:dyDescent="0.25">
      <c r="A2" s="5"/>
      <c r="B2" s="6"/>
      <c r="C2" s="7"/>
      <c r="D2" s="8"/>
      <c r="E2" s="149" t="s">
        <v>0</v>
      </c>
      <c r="F2" s="150"/>
      <c r="G2" s="151"/>
      <c r="H2" s="152" t="s">
        <v>1</v>
      </c>
      <c r="I2" s="1"/>
      <c r="IK2" s="9"/>
      <c r="IL2" s="9"/>
      <c r="IM2" s="9"/>
      <c r="IN2" s="9"/>
      <c r="IO2" s="9"/>
      <c r="IP2" s="9"/>
    </row>
    <row r="3" spans="1:250" ht="18.75" x14ac:dyDescent="0.25">
      <c r="A3" s="10"/>
      <c r="B3" s="11" t="s">
        <v>2</v>
      </c>
      <c r="C3" s="12" t="s">
        <v>3</v>
      </c>
      <c r="D3" s="13" t="s">
        <v>4</v>
      </c>
      <c r="E3" s="153" t="s">
        <v>5</v>
      </c>
      <c r="F3" s="154" t="s">
        <v>6</v>
      </c>
      <c r="G3" s="154" t="s">
        <v>7</v>
      </c>
      <c r="H3" s="152"/>
      <c r="I3" s="1"/>
      <c r="IK3" s="14"/>
      <c r="IL3" s="14"/>
      <c r="IM3" s="14"/>
      <c r="IN3" s="14"/>
      <c r="IO3" s="14"/>
      <c r="IP3" s="14"/>
    </row>
    <row r="4" spans="1:250" ht="18.75" x14ac:dyDescent="0.25">
      <c r="A4" s="10"/>
      <c r="B4" s="156" t="s">
        <v>26</v>
      </c>
      <c r="C4" s="156"/>
      <c r="D4" s="157"/>
      <c r="E4" s="153"/>
      <c r="F4" s="155"/>
      <c r="G4" s="155"/>
      <c r="H4" s="152"/>
      <c r="I4" s="1"/>
      <c r="IK4" s="14"/>
      <c r="IL4" s="14"/>
      <c r="IM4" s="14"/>
      <c r="IN4" s="14"/>
      <c r="IO4" s="14"/>
      <c r="IP4" s="14"/>
    </row>
    <row r="5" spans="1:250" ht="15.95" customHeight="1" x14ac:dyDescent="0.25">
      <c r="A5" s="10"/>
      <c r="B5" s="15"/>
      <c r="C5" s="103"/>
      <c r="D5" s="16"/>
      <c r="E5" s="88"/>
      <c r="F5" s="17"/>
      <c r="G5" s="17"/>
      <c r="H5" s="119"/>
      <c r="I5" s="1"/>
      <c r="K5" s="18"/>
      <c r="IK5" s="14"/>
      <c r="IL5" s="14"/>
      <c r="IM5" s="14"/>
      <c r="IN5" s="14"/>
      <c r="IO5" s="14"/>
      <c r="IP5" s="14"/>
    </row>
    <row r="6" spans="1:250" ht="30" x14ac:dyDescent="0.25">
      <c r="A6" s="19"/>
      <c r="B6" s="20">
        <v>1</v>
      </c>
      <c r="C6" s="80" t="s">
        <v>103</v>
      </c>
      <c r="D6" s="89" t="s">
        <v>76</v>
      </c>
      <c r="E6" s="136">
        <f>SUM(F6:G6)</f>
        <v>36</v>
      </c>
      <c r="F6" s="17">
        <v>12</v>
      </c>
      <c r="G6" s="17">
        <v>24</v>
      </c>
      <c r="H6" s="97" t="s">
        <v>77</v>
      </c>
      <c r="I6" s="1"/>
      <c r="K6" s="18"/>
      <c r="IK6" s="14"/>
      <c r="IL6" s="14"/>
      <c r="IM6" s="14"/>
      <c r="IN6" s="14"/>
      <c r="IO6" s="14"/>
      <c r="IP6" s="14"/>
    </row>
    <row r="7" spans="1:250" ht="15.95" customHeight="1" x14ac:dyDescent="0.25">
      <c r="A7" s="19"/>
      <c r="B7" s="20"/>
      <c r="C7" s="80"/>
      <c r="D7" s="24"/>
      <c r="E7" s="21"/>
      <c r="F7" s="17"/>
      <c r="G7" s="17"/>
      <c r="H7" s="120"/>
      <c r="I7" s="1"/>
      <c r="K7" s="18"/>
      <c r="IK7" s="14"/>
      <c r="IL7" s="14"/>
      <c r="IM7" s="14"/>
      <c r="IN7" s="14"/>
      <c r="IO7" s="14"/>
      <c r="IP7" s="14"/>
    </row>
    <row r="8" spans="1:250" ht="30" x14ac:dyDescent="0.25">
      <c r="A8" s="19"/>
      <c r="B8" s="25">
        <v>2</v>
      </c>
      <c r="C8" s="83" t="s">
        <v>33</v>
      </c>
      <c r="D8" s="82"/>
      <c r="E8" s="136">
        <f>SUM(F8:G8)</f>
        <v>40</v>
      </c>
      <c r="F8" s="17">
        <v>8</v>
      </c>
      <c r="G8" s="17">
        <v>32</v>
      </c>
      <c r="H8" s="97" t="s">
        <v>78</v>
      </c>
      <c r="I8" s="1"/>
      <c r="K8" s="18"/>
    </row>
    <row r="9" spans="1:250" x14ac:dyDescent="0.25">
      <c r="A9" s="19"/>
      <c r="B9" s="25"/>
      <c r="C9" s="83"/>
      <c r="D9" s="82"/>
      <c r="E9" s="21"/>
      <c r="F9" s="17"/>
      <c r="G9" s="17"/>
      <c r="H9" s="96"/>
      <c r="I9" s="1"/>
      <c r="K9" s="18"/>
    </row>
    <row r="10" spans="1:250" ht="90" x14ac:dyDescent="0.25">
      <c r="A10" s="19"/>
      <c r="B10" s="25">
        <v>3</v>
      </c>
      <c r="C10" s="83" t="s">
        <v>34</v>
      </c>
      <c r="D10" s="84" t="s">
        <v>35</v>
      </c>
      <c r="E10" s="136">
        <f>SUM(F10:G10)</f>
        <v>48</v>
      </c>
      <c r="F10" s="17"/>
      <c r="G10" s="17">
        <v>48</v>
      </c>
      <c r="H10" s="91" t="s">
        <v>107</v>
      </c>
      <c r="I10" s="1"/>
      <c r="K10" s="18"/>
    </row>
    <row r="11" spans="1:250" ht="15.95" customHeight="1" x14ac:dyDescent="0.25">
      <c r="A11" s="19"/>
      <c r="B11" s="27"/>
      <c r="C11" s="104"/>
      <c r="D11" s="28"/>
      <c r="E11" s="21"/>
      <c r="F11" s="17"/>
      <c r="G11" s="17"/>
      <c r="H11" s="26"/>
      <c r="I11" s="1"/>
      <c r="K11" s="18"/>
    </row>
    <row r="12" spans="1:250" ht="60" x14ac:dyDescent="0.25">
      <c r="A12" s="19"/>
      <c r="B12" s="27">
        <v>4</v>
      </c>
      <c r="C12" s="83" t="s">
        <v>36</v>
      </c>
      <c r="D12" s="29" t="s">
        <v>37</v>
      </c>
      <c r="E12" s="136">
        <f>SUM(F12:G12)</f>
        <v>40</v>
      </c>
      <c r="F12" s="17">
        <v>8</v>
      </c>
      <c r="G12" s="133">
        <v>32</v>
      </c>
      <c r="H12" s="26" t="s">
        <v>79</v>
      </c>
      <c r="I12" s="1"/>
      <c r="K12" s="18"/>
    </row>
    <row r="13" spans="1:250" x14ac:dyDescent="0.25">
      <c r="A13" s="19"/>
      <c r="B13" s="27"/>
      <c r="C13" s="83"/>
      <c r="D13" s="29"/>
      <c r="E13" s="21"/>
      <c r="F13" s="17"/>
      <c r="G13" s="17"/>
      <c r="H13" s="26"/>
      <c r="I13" s="1"/>
      <c r="K13" s="18"/>
    </row>
    <row r="14" spans="1:250" ht="60" x14ac:dyDescent="0.25">
      <c r="A14" s="19"/>
      <c r="B14" s="27">
        <v>5</v>
      </c>
      <c r="C14" s="141" t="s">
        <v>64</v>
      </c>
      <c r="D14" s="93" t="s">
        <v>65</v>
      </c>
      <c r="E14" s="136">
        <f>SUM(F14:G14)</f>
        <v>160</v>
      </c>
      <c r="F14" s="17">
        <v>64</v>
      </c>
      <c r="G14" s="17">
        <v>96</v>
      </c>
      <c r="H14" s="92" t="s">
        <v>80</v>
      </c>
      <c r="I14" s="1"/>
      <c r="K14" s="18"/>
    </row>
    <row r="15" spans="1:250" x14ac:dyDescent="0.25">
      <c r="A15" s="19"/>
      <c r="B15" s="27"/>
      <c r="C15" s="83"/>
      <c r="D15" s="29"/>
      <c r="E15" s="21"/>
      <c r="F15" s="17"/>
      <c r="G15" s="17"/>
      <c r="H15" s="26"/>
      <c r="I15" s="1"/>
      <c r="K15" s="18"/>
    </row>
    <row r="16" spans="1:250" ht="30" x14ac:dyDescent="0.25">
      <c r="A16" s="19"/>
      <c r="B16" s="27">
        <v>6</v>
      </c>
      <c r="C16" s="83" t="s">
        <v>38</v>
      </c>
      <c r="D16" s="29" t="s">
        <v>39</v>
      </c>
      <c r="E16" s="136">
        <f>SUM(F16:G16)</f>
        <v>80</v>
      </c>
      <c r="F16" s="17">
        <v>24</v>
      </c>
      <c r="G16" s="17">
        <v>56</v>
      </c>
      <c r="H16" s="94" t="s">
        <v>81</v>
      </c>
      <c r="I16" s="1"/>
      <c r="K16" s="18"/>
    </row>
    <row r="17" spans="1:11" x14ac:dyDescent="0.25">
      <c r="A17" s="19"/>
      <c r="B17" s="27"/>
      <c r="C17" s="83"/>
      <c r="D17" s="29"/>
      <c r="E17" s="21"/>
      <c r="F17" s="17"/>
      <c r="G17" s="17"/>
      <c r="H17" s="26"/>
      <c r="I17" s="1"/>
      <c r="K17" s="18"/>
    </row>
    <row r="18" spans="1:11" ht="60" x14ac:dyDescent="0.25">
      <c r="A18" s="19"/>
      <c r="B18" s="27">
        <v>7</v>
      </c>
      <c r="C18" s="83" t="s">
        <v>82</v>
      </c>
      <c r="D18" s="29" t="s">
        <v>102</v>
      </c>
      <c r="E18" s="136">
        <f>SUM(F18:G18)</f>
        <v>16</v>
      </c>
      <c r="F18" s="17">
        <v>8</v>
      </c>
      <c r="G18" s="17">
        <v>8</v>
      </c>
      <c r="H18" s="91" t="s">
        <v>83</v>
      </c>
      <c r="I18" s="1"/>
      <c r="K18" s="18"/>
    </row>
    <row r="19" spans="1:11" x14ac:dyDescent="0.25">
      <c r="A19" s="19"/>
      <c r="B19" s="27"/>
      <c r="C19" s="83"/>
      <c r="D19" s="29"/>
      <c r="E19" s="21"/>
      <c r="F19" s="17"/>
      <c r="G19" s="17"/>
      <c r="H19" s="117"/>
      <c r="I19" s="1"/>
      <c r="K19" s="18"/>
    </row>
    <row r="20" spans="1:11" ht="30" x14ac:dyDescent="0.25">
      <c r="A20" s="19"/>
      <c r="B20" s="27">
        <v>8</v>
      </c>
      <c r="C20" s="83" t="s">
        <v>84</v>
      </c>
      <c r="D20" s="95" t="s">
        <v>85</v>
      </c>
      <c r="E20" s="136">
        <f>SUM(F20:G20)</f>
        <v>24</v>
      </c>
      <c r="F20" s="17"/>
      <c r="G20" s="17">
        <v>24</v>
      </c>
      <c r="H20" s="118" t="s">
        <v>71</v>
      </c>
      <c r="I20" s="1"/>
      <c r="K20" s="18"/>
    </row>
    <row r="21" spans="1:11" x14ac:dyDescent="0.25">
      <c r="A21" s="19"/>
      <c r="B21" s="27"/>
      <c r="C21" s="83"/>
      <c r="D21" s="24"/>
      <c r="E21" s="21"/>
      <c r="F21" s="17"/>
      <c r="G21" s="17"/>
      <c r="H21" s="96"/>
      <c r="I21" s="1"/>
      <c r="K21" s="18"/>
    </row>
    <row r="22" spans="1:11" ht="60" x14ac:dyDescent="0.25">
      <c r="A22" s="19"/>
      <c r="B22" s="27">
        <v>9</v>
      </c>
      <c r="C22" s="83" t="s">
        <v>42</v>
      </c>
      <c r="D22" s="29" t="s">
        <v>43</v>
      </c>
      <c r="E22" s="136">
        <f>SUM(F22:G22)</f>
        <v>24</v>
      </c>
      <c r="F22" s="17">
        <v>24</v>
      </c>
      <c r="G22" s="17"/>
      <c r="H22" s="26"/>
      <c r="I22" s="1"/>
      <c r="K22" s="18"/>
    </row>
    <row r="23" spans="1:11" ht="15.95" customHeight="1" x14ac:dyDescent="0.25">
      <c r="A23" s="19"/>
      <c r="B23" s="27"/>
      <c r="C23" s="83"/>
      <c r="D23" s="28"/>
      <c r="E23" s="21"/>
      <c r="F23" s="17"/>
      <c r="G23" s="17"/>
      <c r="H23" s="26"/>
      <c r="I23" s="1"/>
      <c r="K23" s="18"/>
    </row>
    <row r="24" spans="1:11" ht="75" x14ac:dyDescent="0.25">
      <c r="A24" s="19"/>
      <c r="B24" s="27">
        <v>10</v>
      </c>
      <c r="C24" s="83" t="s">
        <v>44</v>
      </c>
      <c r="D24" s="24" t="s">
        <v>45</v>
      </c>
      <c r="E24" s="136">
        <f>SUM(F24:G24)</f>
        <v>32</v>
      </c>
      <c r="F24" s="17">
        <v>8</v>
      </c>
      <c r="G24" s="17">
        <v>24</v>
      </c>
      <c r="H24" s="26" t="s">
        <v>86</v>
      </c>
      <c r="I24" s="1"/>
      <c r="K24" s="18"/>
    </row>
    <row r="25" spans="1:11" x14ac:dyDescent="0.25">
      <c r="A25" s="19"/>
      <c r="B25" s="27"/>
      <c r="C25" s="83"/>
      <c r="D25" s="82"/>
      <c r="E25" s="21"/>
      <c r="F25" s="17"/>
      <c r="G25" s="17"/>
      <c r="H25" s="26"/>
      <c r="I25" s="1"/>
      <c r="K25" s="18"/>
    </row>
    <row r="26" spans="1:11" x14ac:dyDescent="0.25">
      <c r="A26" s="19"/>
      <c r="B26" s="98">
        <v>11</v>
      </c>
      <c r="C26" s="141" t="s">
        <v>87</v>
      </c>
      <c r="D26" s="82"/>
      <c r="E26" s="21">
        <f>SUM(F26:G26)</f>
        <v>160</v>
      </c>
      <c r="F26" s="134">
        <v>80</v>
      </c>
      <c r="G26" s="134">
        <v>80</v>
      </c>
      <c r="H26" s="94" t="s">
        <v>88</v>
      </c>
      <c r="I26" s="1"/>
      <c r="K26" s="18"/>
    </row>
    <row r="27" spans="1:11" x14ac:dyDescent="0.25">
      <c r="A27" s="19"/>
      <c r="B27" s="98"/>
      <c r="C27" s="83"/>
      <c r="D27" s="82"/>
      <c r="E27" s="22"/>
      <c r="F27" s="17"/>
      <c r="G27" s="17"/>
      <c r="H27" s="26"/>
      <c r="I27" s="1"/>
      <c r="K27" s="18"/>
    </row>
    <row r="28" spans="1:11" ht="90" x14ac:dyDescent="0.25">
      <c r="A28" s="19"/>
      <c r="B28" s="98">
        <v>12</v>
      </c>
      <c r="C28" s="141" t="s">
        <v>62</v>
      </c>
      <c r="D28" s="30" t="s">
        <v>63</v>
      </c>
      <c r="E28" s="136">
        <f>SUM(F28:G28)</f>
        <v>294</v>
      </c>
      <c r="F28" s="17">
        <v>104</v>
      </c>
      <c r="G28" s="17">
        <v>190</v>
      </c>
      <c r="H28" s="91" t="s">
        <v>104</v>
      </c>
      <c r="I28" s="1"/>
      <c r="K28" s="18"/>
    </row>
    <row r="29" spans="1:11" x14ac:dyDescent="0.25">
      <c r="A29" s="19"/>
      <c r="B29" s="98"/>
      <c r="C29" s="83"/>
      <c r="D29" s="30"/>
      <c r="E29" s="22"/>
      <c r="F29" s="17"/>
      <c r="G29" s="17"/>
      <c r="H29" s="26"/>
      <c r="I29" s="1"/>
      <c r="K29" s="18"/>
    </row>
    <row r="30" spans="1:11" ht="30" x14ac:dyDescent="0.25">
      <c r="A30" s="19"/>
      <c r="B30" s="98">
        <v>13</v>
      </c>
      <c r="C30" s="141" t="s">
        <v>91</v>
      </c>
      <c r="D30" s="30"/>
      <c r="E30" s="136">
        <f>SUM(F30:G30)</f>
        <v>340</v>
      </c>
      <c r="F30" s="17">
        <v>130</v>
      </c>
      <c r="G30" s="17">
        <v>210</v>
      </c>
      <c r="H30" s="90" t="s">
        <v>92</v>
      </c>
      <c r="I30" s="1"/>
      <c r="K30" s="18"/>
    </row>
    <row r="31" spans="1:11" x14ac:dyDescent="0.25">
      <c r="A31" s="19"/>
      <c r="B31" s="98"/>
      <c r="C31" s="83"/>
      <c r="D31" s="30"/>
      <c r="E31" s="22"/>
      <c r="F31" s="17"/>
      <c r="G31" s="17"/>
      <c r="H31" s="26"/>
      <c r="I31" s="1"/>
      <c r="K31" s="18"/>
    </row>
    <row r="32" spans="1:11" ht="30" x14ac:dyDescent="0.25">
      <c r="A32" s="19"/>
      <c r="B32" s="98">
        <v>14</v>
      </c>
      <c r="C32" s="83" t="s">
        <v>96</v>
      </c>
      <c r="D32" s="30"/>
      <c r="E32" s="136">
        <f>SUM(F32:G32)</f>
        <v>32</v>
      </c>
      <c r="F32" s="17">
        <v>8</v>
      </c>
      <c r="G32" s="17">
        <v>24</v>
      </c>
      <c r="H32" s="94" t="s">
        <v>97</v>
      </c>
      <c r="I32" s="1"/>
      <c r="K32" s="18"/>
    </row>
    <row r="33" spans="1:11" x14ac:dyDescent="0.25">
      <c r="A33" s="19"/>
      <c r="B33" s="98"/>
      <c r="C33" s="83"/>
      <c r="D33" s="30"/>
      <c r="E33" s="22"/>
      <c r="F33" s="17"/>
      <c r="G33" s="17"/>
      <c r="H33" s="94"/>
      <c r="I33" s="1"/>
      <c r="K33" s="18"/>
    </row>
    <row r="34" spans="1:11" ht="30" x14ac:dyDescent="0.25">
      <c r="A34" s="19"/>
      <c r="B34" s="98">
        <v>15</v>
      </c>
      <c r="C34" s="83" t="s">
        <v>98</v>
      </c>
      <c r="D34" s="30"/>
      <c r="E34" s="136">
        <f>SUM(F34:G34)</f>
        <v>4</v>
      </c>
      <c r="F34" s="17"/>
      <c r="G34" s="17">
        <v>4</v>
      </c>
      <c r="H34" s="91" t="s">
        <v>99</v>
      </c>
      <c r="I34" s="1"/>
      <c r="K34" s="18"/>
    </row>
    <row r="35" spans="1:11" x14ac:dyDescent="0.25">
      <c r="A35" s="19"/>
      <c r="B35" s="98"/>
      <c r="C35" s="83"/>
      <c r="D35" s="30"/>
      <c r="E35" s="22"/>
      <c r="F35" s="17"/>
      <c r="G35" s="17"/>
      <c r="H35" s="116"/>
      <c r="I35" s="1"/>
      <c r="K35" s="18"/>
    </row>
    <row r="36" spans="1:11" ht="45" x14ac:dyDescent="0.25">
      <c r="A36" s="19"/>
      <c r="B36" s="98">
        <v>16</v>
      </c>
      <c r="C36" s="83" t="s">
        <v>100</v>
      </c>
      <c r="D36" s="30"/>
      <c r="E36" s="136">
        <f>SUM(F36:G36)</f>
        <v>98</v>
      </c>
      <c r="F36" s="17">
        <v>34</v>
      </c>
      <c r="G36" s="17">
        <v>64</v>
      </c>
      <c r="H36" s="97" t="s">
        <v>101</v>
      </c>
      <c r="I36" s="1"/>
      <c r="K36" s="18"/>
    </row>
    <row r="37" spans="1:11" x14ac:dyDescent="0.25">
      <c r="A37" s="19"/>
      <c r="B37" s="98"/>
      <c r="C37" s="83"/>
      <c r="D37" s="30"/>
      <c r="E37" s="22"/>
      <c r="F37" s="17"/>
      <c r="G37" s="17"/>
      <c r="H37" s="90"/>
      <c r="I37" s="1"/>
      <c r="K37" s="18"/>
    </row>
    <row r="38" spans="1:11" ht="30" x14ac:dyDescent="0.25">
      <c r="A38" s="19"/>
      <c r="B38" s="98">
        <v>17</v>
      </c>
      <c r="C38" s="83" t="s">
        <v>108</v>
      </c>
      <c r="D38" s="24" t="s">
        <v>105</v>
      </c>
      <c r="E38" s="136">
        <f>SUM(F38:G38)</f>
        <v>80</v>
      </c>
      <c r="F38" s="17">
        <v>40</v>
      </c>
      <c r="G38" s="17">
        <v>40</v>
      </c>
      <c r="H38" s="26"/>
      <c r="I38" s="1"/>
      <c r="K38" s="18"/>
    </row>
    <row r="39" spans="1:11" x14ac:dyDescent="0.25">
      <c r="A39" s="19"/>
      <c r="B39" s="98"/>
      <c r="C39" s="83"/>
      <c r="D39" s="30"/>
      <c r="E39" s="22"/>
      <c r="F39" s="17"/>
      <c r="G39" s="17"/>
      <c r="H39" s="94"/>
      <c r="I39" s="1"/>
      <c r="K39" s="18"/>
    </row>
    <row r="40" spans="1:11" ht="60" x14ac:dyDescent="0.25">
      <c r="A40" s="19"/>
      <c r="B40" s="98">
        <v>18</v>
      </c>
      <c r="C40" s="83" t="s">
        <v>109</v>
      </c>
      <c r="D40" s="93" t="s">
        <v>110</v>
      </c>
      <c r="E40" s="136">
        <f>SUM(F40:G40)</f>
        <v>16</v>
      </c>
      <c r="F40" s="17">
        <v>8</v>
      </c>
      <c r="G40" s="17">
        <v>8</v>
      </c>
      <c r="H40" s="26" t="s">
        <v>72</v>
      </c>
      <c r="I40" s="1"/>
      <c r="K40" s="18"/>
    </row>
    <row r="41" spans="1:11" x14ac:dyDescent="0.25">
      <c r="A41" s="19"/>
      <c r="B41" s="98"/>
      <c r="C41" s="83"/>
      <c r="D41" s="137"/>
      <c r="E41" s="138"/>
      <c r="F41" s="125"/>
      <c r="G41" s="125"/>
      <c r="H41" s="117"/>
      <c r="I41" s="1"/>
      <c r="K41" s="18"/>
    </row>
    <row r="42" spans="1:11" x14ac:dyDescent="0.25">
      <c r="A42" s="19"/>
      <c r="B42" s="98">
        <v>19</v>
      </c>
      <c r="C42" s="83" t="s">
        <v>52</v>
      </c>
      <c r="D42" s="132" t="s">
        <v>53</v>
      </c>
      <c r="E42" s="140">
        <f>SUM(F42:G42)</f>
        <v>80</v>
      </c>
      <c r="F42" s="134">
        <v>80</v>
      </c>
      <c r="G42" s="17"/>
      <c r="H42" s="118"/>
      <c r="I42" s="1"/>
      <c r="K42" s="18"/>
    </row>
    <row r="43" spans="1:11" x14ac:dyDescent="0.25">
      <c r="A43" s="19"/>
      <c r="B43" s="98"/>
      <c r="C43" s="83"/>
      <c r="D43" s="132"/>
      <c r="E43" s="17"/>
      <c r="F43" s="17"/>
      <c r="G43" s="17"/>
      <c r="H43" s="118"/>
      <c r="I43" s="1"/>
      <c r="K43" s="18"/>
    </row>
    <row r="44" spans="1:11" x14ac:dyDescent="0.25">
      <c r="A44" s="19"/>
      <c r="B44" s="98">
        <v>20</v>
      </c>
      <c r="C44" s="83" t="s">
        <v>113</v>
      </c>
      <c r="D44" s="132"/>
      <c r="E44" s="17"/>
      <c r="F44" s="17"/>
      <c r="G44" s="17"/>
      <c r="H44" s="118"/>
      <c r="I44" s="1"/>
      <c r="K44" s="18"/>
    </row>
    <row r="45" spans="1:11" x14ac:dyDescent="0.25">
      <c r="A45" s="19"/>
      <c r="I45" s="1"/>
      <c r="K45" s="18"/>
    </row>
    <row r="46" spans="1:11" x14ac:dyDescent="0.25">
      <c r="A46" s="19"/>
      <c r="B46" s="98">
        <v>21</v>
      </c>
      <c r="C46" s="57" t="s">
        <v>111</v>
      </c>
      <c r="I46" s="1"/>
      <c r="K46" s="18"/>
    </row>
    <row r="47" spans="1:11" x14ac:dyDescent="0.25">
      <c r="A47" s="19"/>
      <c r="I47" s="1"/>
      <c r="K47" s="18"/>
    </row>
    <row r="48" spans="1:11" x14ac:dyDescent="0.25">
      <c r="A48" s="19"/>
      <c r="B48" s="98">
        <v>22</v>
      </c>
      <c r="C48" s="57" t="s">
        <v>112</v>
      </c>
      <c r="I48" s="1"/>
      <c r="K48" s="18"/>
    </row>
    <row r="49" spans="1:11" x14ac:dyDescent="0.25">
      <c r="A49" s="19"/>
      <c r="I49" s="1"/>
      <c r="K49" s="18"/>
    </row>
    <row r="50" spans="1:11" x14ac:dyDescent="0.25">
      <c r="A50" s="19"/>
      <c r="I50" s="1"/>
      <c r="K50" s="18"/>
    </row>
    <row r="51" spans="1:11" x14ac:dyDescent="0.25">
      <c r="A51" s="19"/>
      <c r="B51" s="110"/>
      <c r="C51" s="111"/>
      <c r="D51" s="112"/>
      <c r="E51" s="113"/>
      <c r="F51" s="114"/>
      <c r="G51" s="114"/>
      <c r="H51" s="115"/>
      <c r="I51" s="1"/>
      <c r="K51" s="18"/>
    </row>
    <row r="52" spans="1:11" x14ac:dyDescent="0.25">
      <c r="A52" s="19"/>
      <c r="B52" s="98"/>
      <c r="C52" s="105"/>
      <c r="D52" s="82"/>
      <c r="E52" s="21"/>
      <c r="F52" s="17"/>
      <c r="G52" s="17"/>
      <c r="H52" s="94"/>
      <c r="I52" s="1"/>
      <c r="K52" s="18"/>
    </row>
    <row r="53" spans="1:11" x14ac:dyDescent="0.25">
      <c r="A53" s="19"/>
      <c r="B53" s="98">
        <v>22</v>
      </c>
      <c r="C53" s="83" t="s">
        <v>56</v>
      </c>
      <c r="D53" s="82" t="s">
        <v>57</v>
      </c>
      <c r="E53" s="17">
        <f>SUM(F53:G53)</f>
        <v>0</v>
      </c>
      <c r="F53" s="17">
        <v>0</v>
      </c>
      <c r="G53" s="17">
        <v>0</v>
      </c>
      <c r="H53" s="131" t="s">
        <v>93</v>
      </c>
      <c r="I53" s="1"/>
      <c r="K53" s="18"/>
    </row>
    <row r="54" spans="1:11" x14ac:dyDescent="0.25">
      <c r="A54" s="19"/>
      <c r="B54" s="98"/>
      <c r="C54" s="83"/>
      <c r="D54" s="82"/>
      <c r="E54" s="17"/>
      <c r="F54" s="17"/>
      <c r="G54" s="17"/>
      <c r="H54" s="131"/>
      <c r="I54" s="1"/>
      <c r="K54" s="18"/>
    </row>
    <row r="55" spans="1:11" x14ac:dyDescent="0.25">
      <c r="A55" s="19"/>
      <c r="B55" s="98">
        <v>13</v>
      </c>
      <c r="C55" s="83" t="s">
        <v>89</v>
      </c>
      <c r="D55" s="82"/>
      <c r="E55" s="17">
        <f>SUM(F55:G55)</f>
        <v>0</v>
      </c>
      <c r="F55" s="17">
        <v>0</v>
      </c>
      <c r="G55" s="17"/>
      <c r="H55" s="135" t="s">
        <v>90</v>
      </c>
      <c r="I55" s="1"/>
      <c r="K55" s="18"/>
    </row>
    <row r="56" spans="1:11" x14ac:dyDescent="0.25">
      <c r="A56" s="19"/>
      <c r="B56" s="98"/>
      <c r="C56" s="83"/>
      <c r="D56" s="82"/>
      <c r="E56" s="17"/>
      <c r="F56" s="17"/>
      <c r="G56" s="17"/>
      <c r="H56" s="131"/>
      <c r="I56" s="1"/>
      <c r="K56" s="18"/>
    </row>
    <row r="57" spans="1:11" ht="30" x14ac:dyDescent="0.25">
      <c r="A57" s="19"/>
      <c r="B57" s="98">
        <v>15</v>
      </c>
      <c r="C57" s="83" t="s">
        <v>94</v>
      </c>
      <c r="D57" s="108"/>
      <c r="E57" s="17">
        <f>SUM(F57:G57)</f>
        <v>0</v>
      </c>
      <c r="F57" s="17"/>
      <c r="H57" s="139" t="s">
        <v>95</v>
      </c>
      <c r="I57" s="1"/>
      <c r="K57" s="18"/>
    </row>
    <row r="58" spans="1:11" x14ac:dyDescent="0.25">
      <c r="A58" s="19"/>
      <c r="B58" s="121"/>
      <c r="C58" s="122"/>
      <c r="D58" s="123"/>
      <c r="E58" s="124"/>
      <c r="F58" s="125"/>
      <c r="G58" s="125"/>
      <c r="H58" s="116"/>
      <c r="I58" s="1"/>
      <c r="K58" s="18"/>
    </row>
    <row r="59" spans="1:11" x14ac:dyDescent="0.25">
      <c r="A59" s="19"/>
      <c r="B59" s="121"/>
      <c r="C59" s="122"/>
      <c r="D59" s="123"/>
      <c r="E59" s="124"/>
      <c r="F59" s="125"/>
      <c r="G59" s="125"/>
      <c r="H59" s="116"/>
      <c r="I59" s="1"/>
      <c r="K59" s="18"/>
    </row>
    <row r="60" spans="1:11" x14ac:dyDescent="0.25">
      <c r="A60" s="19"/>
      <c r="B60" s="121"/>
      <c r="C60" s="122" t="s">
        <v>74</v>
      </c>
      <c r="D60" s="123"/>
      <c r="E60" s="124">
        <f>SUM(F60:G60)</f>
        <v>0</v>
      </c>
      <c r="F60" s="125">
        <v>0</v>
      </c>
      <c r="G60" s="125">
        <v>0</v>
      </c>
      <c r="H60" s="116" t="s">
        <v>88</v>
      </c>
      <c r="I60" s="1"/>
      <c r="K60" s="18"/>
    </row>
    <row r="61" spans="1:11" x14ac:dyDescent="0.25">
      <c r="A61" s="19"/>
      <c r="B61" s="27"/>
      <c r="C61" s="130"/>
      <c r="D61" s="82"/>
      <c r="E61" s="17"/>
      <c r="F61" s="17"/>
      <c r="G61" s="17"/>
      <c r="H61" s="131"/>
      <c r="I61" s="1"/>
      <c r="K61" s="18"/>
    </row>
    <row r="62" spans="1:11" ht="75" x14ac:dyDescent="0.25">
      <c r="A62" s="19"/>
      <c r="B62" s="27"/>
      <c r="C62" s="81" t="s">
        <v>27</v>
      </c>
      <c r="D62" s="132" t="s">
        <v>28</v>
      </c>
      <c r="E62" s="17"/>
      <c r="I62" s="1"/>
      <c r="K62" s="18"/>
    </row>
    <row r="63" spans="1:11" x14ac:dyDescent="0.25">
      <c r="A63" s="19"/>
      <c r="B63" s="126"/>
      <c r="C63" s="104"/>
      <c r="D63" s="127"/>
      <c r="E63" s="128"/>
      <c r="F63" s="129"/>
      <c r="G63" s="129"/>
      <c r="H63" s="96"/>
      <c r="I63" s="1"/>
      <c r="K63" s="18"/>
    </row>
    <row r="64" spans="1:11" ht="60" x14ac:dyDescent="0.25">
      <c r="A64" s="19"/>
      <c r="B64" s="98"/>
      <c r="C64" s="81" t="s">
        <v>29</v>
      </c>
      <c r="D64" s="85" t="s">
        <v>30</v>
      </c>
      <c r="E64" s="21"/>
      <c r="F64" s="17"/>
      <c r="I64" s="1"/>
      <c r="K64" s="18"/>
    </row>
    <row r="65" spans="1:11" x14ac:dyDescent="0.25">
      <c r="A65" s="19"/>
      <c r="B65" s="98"/>
      <c r="C65" s="106"/>
      <c r="D65" s="108"/>
      <c r="I65" s="1"/>
      <c r="K65" s="18"/>
    </row>
    <row r="66" spans="1:11" ht="45" x14ac:dyDescent="0.25">
      <c r="A66" s="19"/>
      <c r="B66" s="98"/>
      <c r="C66" s="81" t="s">
        <v>31</v>
      </c>
      <c r="D66" s="82" t="s">
        <v>32</v>
      </c>
      <c r="E66" s="21"/>
      <c r="F66" s="17"/>
      <c r="I66" s="1"/>
      <c r="K66" s="18"/>
    </row>
    <row r="67" spans="1:11" x14ac:dyDescent="0.25">
      <c r="A67" s="19"/>
      <c r="B67" s="98"/>
      <c r="C67" s="106"/>
      <c r="D67" s="108"/>
      <c r="F67" s="17"/>
      <c r="I67" s="1"/>
      <c r="K67" s="18"/>
    </row>
    <row r="68" spans="1:11" ht="45" x14ac:dyDescent="0.25">
      <c r="A68" s="19"/>
      <c r="B68" s="98"/>
      <c r="C68" s="83" t="s">
        <v>40</v>
      </c>
      <c r="D68" s="86" t="s">
        <v>41</v>
      </c>
      <c r="E68" s="21"/>
      <c r="F68" s="17"/>
      <c r="I68" s="1"/>
      <c r="K68" s="18"/>
    </row>
    <row r="69" spans="1:11" x14ac:dyDescent="0.25">
      <c r="A69" s="19"/>
      <c r="B69" s="98"/>
      <c r="C69" s="106"/>
      <c r="D69" s="108"/>
      <c r="F69" s="17"/>
      <c r="I69" s="1"/>
      <c r="K69" s="18"/>
    </row>
    <row r="70" spans="1:11" ht="30" x14ac:dyDescent="0.25">
      <c r="A70" s="19"/>
      <c r="B70" s="98"/>
      <c r="C70" s="83" t="s">
        <v>46</v>
      </c>
      <c r="D70" s="87" t="s">
        <v>47</v>
      </c>
      <c r="E70" s="21"/>
      <c r="F70" s="17"/>
      <c r="I70" s="1"/>
      <c r="K70" s="18"/>
    </row>
    <row r="71" spans="1:11" ht="15.95" customHeight="1" x14ac:dyDescent="0.25">
      <c r="A71" s="19"/>
      <c r="B71" s="98"/>
      <c r="C71" s="83"/>
      <c r="D71" s="30"/>
      <c r="E71" s="22"/>
      <c r="F71" s="17"/>
      <c r="G71" s="17"/>
      <c r="H71" s="26"/>
      <c r="I71" s="1"/>
      <c r="K71" s="18"/>
    </row>
    <row r="72" spans="1:11" ht="165" x14ac:dyDescent="0.25">
      <c r="A72" s="19"/>
      <c r="B72" s="98"/>
      <c r="C72" s="83" t="s">
        <v>48</v>
      </c>
      <c r="D72" s="87" t="s">
        <v>49</v>
      </c>
      <c r="E72" s="21"/>
      <c r="I72" s="1"/>
      <c r="K72" s="18"/>
    </row>
    <row r="73" spans="1:11" ht="15.95" customHeight="1" x14ac:dyDescent="0.25">
      <c r="A73" s="19"/>
      <c r="B73" s="98"/>
      <c r="C73" s="106"/>
      <c r="D73" s="108"/>
      <c r="I73" s="1"/>
      <c r="K73" s="18"/>
    </row>
    <row r="74" spans="1:11" ht="30" x14ac:dyDescent="0.25">
      <c r="A74" s="19"/>
      <c r="B74" s="27"/>
      <c r="C74" s="83" t="s">
        <v>50</v>
      </c>
      <c r="D74" s="87" t="s">
        <v>51</v>
      </c>
      <c r="E74" s="21"/>
      <c r="I74" s="1"/>
      <c r="K74" s="18"/>
    </row>
    <row r="75" spans="1:11" ht="17.25" customHeight="1" x14ac:dyDescent="0.25">
      <c r="A75" s="19"/>
      <c r="B75" s="27"/>
      <c r="C75" s="106"/>
      <c r="D75" s="108"/>
      <c r="I75" s="1"/>
      <c r="K75" s="18"/>
    </row>
    <row r="76" spans="1:11" ht="15.95" customHeight="1" x14ac:dyDescent="0.25">
      <c r="A76" s="19"/>
      <c r="B76" s="31"/>
      <c r="C76" s="83" t="s">
        <v>52</v>
      </c>
      <c r="D76" s="86" t="s">
        <v>53</v>
      </c>
      <c r="E76" s="21"/>
      <c r="I76" s="1"/>
      <c r="K76" s="18"/>
    </row>
    <row r="77" spans="1:11" ht="15.95" customHeight="1" x14ac:dyDescent="0.25">
      <c r="A77" s="19"/>
      <c r="B77" s="31"/>
      <c r="C77" s="106"/>
      <c r="D77" s="108"/>
      <c r="I77" s="1"/>
      <c r="K77" s="18"/>
    </row>
    <row r="78" spans="1:11" ht="75" x14ac:dyDescent="0.25">
      <c r="A78" s="19"/>
      <c r="B78" s="32"/>
      <c r="C78" s="83" t="s">
        <v>54</v>
      </c>
      <c r="D78" s="24" t="s">
        <v>55</v>
      </c>
      <c r="E78" s="21"/>
      <c r="I78" s="1"/>
      <c r="K78" s="18"/>
    </row>
    <row r="79" spans="1:11" x14ac:dyDescent="0.25">
      <c r="A79" s="19"/>
      <c r="B79" s="34"/>
      <c r="C79" s="106"/>
      <c r="D79" s="108"/>
      <c r="I79" s="1"/>
      <c r="K79" s="18"/>
    </row>
    <row r="80" spans="1:11" ht="15" customHeight="1" x14ac:dyDescent="0.25">
      <c r="A80" s="19"/>
      <c r="B80" s="34"/>
      <c r="C80" s="83" t="s">
        <v>58</v>
      </c>
      <c r="D80" s="30" t="s">
        <v>59</v>
      </c>
      <c r="E80" s="21"/>
      <c r="F80" s="17"/>
      <c r="G80" s="101"/>
      <c r="H80" s="102" t="s">
        <v>70</v>
      </c>
      <c r="I80" s="1"/>
      <c r="K80" s="18"/>
    </row>
    <row r="81" spans="1:11" x14ac:dyDescent="0.25">
      <c r="A81" s="19"/>
      <c r="B81" s="15"/>
      <c r="C81" s="35"/>
      <c r="D81" s="36"/>
      <c r="E81" s="21"/>
      <c r="F81" s="17"/>
      <c r="G81" s="17"/>
      <c r="H81" s="26"/>
      <c r="I81" s="1"/>
      <c r="K81" s="18"/>
    </row>
    <row r="82" spans="1:11" ht="30" x14ac:dyDescent="0.25">
      <c r="A82" s="19"/>
      <c r="B82" s="15"/>
      <c r="C82" s="83" t="s">
        <v>60</v>
      </c>
      <c r="D82" s="30" t="s">
        <v>61</v>
      </c>
      <c r="E82" s="21"/>
      <c r="F82" s="17"/>
      <c r="G82" s="17"/>
      <c r="H82" s="26"/>
      <c r="I82" s="1"/>
      <c r="K82" s="18"/>
    </row>
    <row r="83" spans="1:11" ht="15" customHeight="1" x14ac:dyDescent="0.25">
      <c r="A83" s="19"/>
      <c r="B83" s="15"/>
      <c r="C83" s="35"/>
      <c r="D83" s="39"/>
      <c r="E83" s="38"/>
      <c r="F83" s="17"/>
      <c r="G83" s="17"/>
      <c r="H83" s="40"/>
      <c r="I83" s="1"/>
      <c r="K83" s="18"/>
    </row>
    <row r="84" spans="1:11" ht="15" customHeight="1" x14ac:dyDescent="0.25">
      <c r="A84" s="19"/>
      <c r="B84" s="15"/>
      <c r="C84" s="83" t="s">
        <v>66</v>
      </c>
      <c r="D84" s="30" t="s">
        <v>67</v>
      </c>
      <c r="E84" s="21"/>
      <c r="F84" s="17"/>
      <c r="G84" s="17"/>
      <c r="H84" s="26" t="s">
        <v>73</v>
      </c>
      <c r="I84" s="1"/>
      <c r="K84" s="18"/>
    </row>
    <row r="85" spans="1:11" ht="15" customHeight="1" x14ac:dyDescent="0.25">
      <c r="A85" s="19"/>
      <c r="B85" s="15"/>
      <c r="C85" s="107"/>
      <c r="D85" s="33"/>
      <c r="E85" s="41"/>
      <c r="F85" s="17"/>
      <c r="G85" s="17"/>
      <c r="H85" s="23"/>
      <c r="I85" s="1"/>
      <c r="K85" s="18"/>
    </row>
    <row r="86" spans="1:11" ht="15" customHeight="1" x14ac:dyDescent="0.25">
      <c r="A86" s="19"/>
      <c r="B86" s="15"/>
      <c r="C86" s="83" t="s">
        <v>68</v>
      </c>
      <c r="D86" s="30" t="s">
        <v>75</v>
      </c>
      <c r="E86" s="21"/>
      <c r="F86" s="17"/>
      <c r="G86" s="17"/>
      <c r="H86" s="26"/>
      <c r="I86" s="1"/>
      <c r="K86" s="18"/>
    </row>
    <row r="87" spans="1:11" ht="15" customHeight="1" x14ac:dyDescent="0.25">
      <c r="A87" s="19"/>
      <c r="B87" s="15"/>
      <c r="C87" s="83"/>
      <c r="D87" s="30"/>
      <c r="E87" s="22"/>
      <c r="F87" s="17"/>
      <c r="G87" s="17"/>
      <c r="H87" s="26"/>
      <c r="I87" s="1"/>
      <c r="K87" s="18"/>
    </row>
    <row r="88" spans="1:11" x14ac:dyDescent="0.25">
      <c r="A88" s="19"/>
      <c r="B88" s="15"/>
      <c r="C88" s="106"/>
      <c r="D88" s="108"/>
      <c r="I88" s="1"/>
      <c r="K88" s="18"/>
    </row>
    <row r="89" spans="1:11" x14ac:dyDescent="0.25">
      <c r="A89" s="19"/>
      <c r="B89" s="15"/>
      <c r="C89" s="83"/>
      <c r="D89" s="30"/>
      <c r="E89" s="22"/>
      <c r="F89" s="17"/>
      <c r="G89" s="17"/>
      <c r="H89" s="26"/>
      <c r="I89" s="1"/>
      <c r="K89" s="18"/>
    </row>
    <row r="90" spans="1:11" ht="15" customHeight="1" x14ac:dyDescent="0.25">
      <c r="A90" s="19"/>
      <c r="B90" s="15"/>
      <c r="C90" s="37"/>
      <c r="D90" s="45"/>
      <c r="E90" s="38"/>
      <c r="F90" s="17"/>
      <c r="G90" s="17"/>
      <c r="H90" s="23"/>
      <c r="I90" s="1"/>
      <c r="K90" s="18"/>
    </row>
    <row r="91" spans="1:11" s="49" customFormat="1" ht="15" customHeight="1" x14ac:dyDescent="0.25">
      <c r="A91" s="44"/>
      <c r="B91" s="99"/>
      <c r="C91" s="46"/>
      <c r="D91" s="109"/>
      <c r="E91" s="47"/>
      <c r="F91" s="47"/>
      <c r="G91" s="47"/>
      <c r="H91" s="48"/>
      <c r="I91" s="1"/>
    </row>
    <row r="92" spans="1:11" s="49" customFormat="1" ht="15" customHeight="1" x14ac:dyDescent="0.25">
      <c r="A92" s="44"/>
      <c r="B92" s="100"/>
      <c r="C92" s="46"/>
      <c r="D92" s="50"/>
      <c r="F92" s="51"/>
      <c r="G92" s="51"/>
      <c r="H92" s="48"/>
      <c r="I92" s="1"/>
    </row>
    <row r="93" spans="1:11" s="49" customFormat="1" x14ac:dyDescent="0.25">
      <c r="A93" s="44"/>
      <c r="B93" s="100"/>
      <c r="C93" s="52"/>
      <c r="E93" s="52"/>
      <c r="F93" s="52"/>
      <c r="G93" s="52"/>
      <c r="H93" s="48"/>
      <c r="I93" s="1"/>
    </row>
    <row r="94" spans="1:11" s="49" customFormat="1" ht="15.75" x14ac:dyDescent="0.25">
      <c r="A94" s="44"/>
      <c r="C94" s="52"/>
      <c r="D94" s="53" t="s">
        <v>8</v>
      </c>
      <c r="E94" s="54">
        <f>SUM(F94:G94)</f>
        <v>1604</v>
      </c>
      <c r="F94" s="52">
        <f>SUM(F5:F93)</f>
        <v>640</v>
      </c>
      <c r="G94" s="52">
        <f>SUM(G5:G93)</f>
        <v>964</v>
      </c>
      <c r="H94" s="48"/>
      <c r="I94" s="1"/>
    </row>
    <row r="95" spans="1:11" s="49" customFormat="1" x14ac:dyDescent="0.25">
      <c r="A95" s="44"/>
      <c r="B95" s="55"/>
      <c r="C95" s="55"/>
      <c r="D95" s="55"/>
      <c r="E95" s="55"/>
      <c r="F95" s="55"/>
      <c r="G95" s="55"/>
      <c r="H95" s="55"/>
      <c r="I95" s="1"/>
    </row>
    <row r="96" spans="1:11" s="49" customFormat="1" x14ac:dyDescent="0.25">
      <c r="C96" s="52"/>
      <c r="E96" s="52"/>
      <c r="F96" s="52"/>
      <c r="G96" s="52"/>
      <c r="H96" s="56"/>
    </row>
    <row r="97" spans="3:8" s="49" customFormat="1" x14ac:dyDescent="0.25">
      <c r="C97" s="52"/>
      <c r="E97" s="52"/>
      <c r="F97" s="52"/>
      <c r="G97" s="52"/>
      <c r="H97" s="56"/>
    </row>
    <row r="98" spans="3:8" s="49" customFormat="1" x14ac:dyDescent="0.25">
      <c r="C98" s="52"/>
      <c r="E98" s="52"/>
      <c r="F98" s="52"/>
      <c r="G98" s="52"/>
      <c r="H98" s="56"/>
    </row>
    <row r="99" spans="3:8" s="49" customFormat="1" x14ac:dyDescent="0.25">
      <c r="C99" s="52"/>
      <c r="E99" s="52"/>
      <c r="F99" s="52"/>
      <c r="G99" s="52"/>
      <c r="H99" s="56"/>
    </row>
    <row r="100" spans="3:8" s="49" customFormat="1" x14ac:dyDescent="0.25">
      <c r="C100" s="52"/>
      <c r="E100" s="52"/>
      <c r="F100" s="52"/>
      <c r="G100" s="52"/>
      <c r="H100" s="56"/>
    </row>
    <row r="101" spans="3:8" s="49" customFormat="1" x14ac:dyDescent="0.25">
      <c r="C101" s="52"/>
      <c r="E101" s="52"/>
      <c r="F101" s="52"/>
      <c r="G101" s="52"/>
      <c r="H101" s="56"/>
    </row>
    <row r="102" spans="3:8" s="49" customFormat="1" x14ac:dyDescent="0.25">
      <c r="C102" s="52"/>
      <c r="E102" s="52"/>
      <c r="F102" s="52"/>
      <c r="G102" s="52"/>
      <c r="H102" s="56"/>
    </row>
    <row r="103" spans="3:8" s="49" customFormat="1" x14ac:dyDescent="0.25">
      <c r="C103" s="52"/>
      <c r="E103" s="52"/>
      <c r="F103" s="52"/>
      <c r="G103" s="52"/>
      <c r="H103" s="56"/>
    </row>
    <row r="104" spans="3:8" s="49" customFormat="1" x14ac:dyDescent="0.25">
      <c r="C104" s="52"/>
      <c r="E104" s="52"/>
      <c r="F104" s="52"/>
      <c r="G104" s="52"/>
      <c r="H104" s="56"/>
    </row>
    <row r="105" spans="3:8" s="49" customFormat="1" x14ac:dyDescent="0.25">
      <c r="C105" s="52"/>
      <c r="E105" s="52"/>
      <c r="F105" s="52"/>
      <c r="G105" s="52"/>
      <c r="H105" s="56"/>
    </row>
    <row r="106" spans="3:8" s="49" customFormat="1" x14ac:dyDescent="0.25">
      <c r="C106" s="52"/>
      <c r="E106" s="52"/>
      <c r="F106" s="52"/>
      <c r="G106" s="52"/>
      <c r="H106" s="56"/>
    </row>
    <row r="107" spans="3:8" s="49" customFormat="1" x14ac:dyDescent="0.25">
      <c r="C107" s="52"/>
      <c r="E107" s="52"/>
      <c r="F107" s="52"/>
      <c r="G107" s="52"/>
      <c r="H107" s="56"/>
    </row>
    <row r="108" spans="3:8" s="49" customFormat="1" x14ac:dyDescent="0.25">
      <c r="C108" s="52"/>
      <c r="E108" s="52"/>
      <c r="F108" s="52"/>
      <c r="G108" s="52"/>
      <c r="H108" s="56"/>
    </row>
    <row r="109" spans="3:8" s="49" customFormat="1" x14ac:dyDescent="0.25">
      <c r="C109" s="52"/>
      <c r="E109" s="52"/>
      <c r="F109" s="52"/>
      <c r="G109" s="52"/>
      <c r="H109" s="56"/>
    </row>
    <row r="110" spans="3:8" s="49" customFormat="1" x14ac:dyDescent="0.25">
      <c r="C110" s="52"/>
      <c r="E110" s="52"/>
      <c r="F110" s="52"/>
      <c r="G110" s="52"/>
      <c r="H110" s="56"/>
    </row>
    <row r="111" spans="3:8" s="49" customFormat="1" x14ac:dyDescent="0.25">
      <c r="C111" s="52"/>
      <c r="E111" s="52"/>
      <c r="F111" s="52"/>
      <c r="G111" s="52"/>
      <c r="H111" s="56"/>
    </row>
    <row r="112" spans="3:8" s="49" customFormat="1" x14ac:dyDescent="0.25">
      <c r="C112" s="52"/>
      <c r="E112" s="52"/>
      <c r="F112" s="52"/>
      <c r="G112" s="52"/>
      <c r="H112" s="56"/>
    </row>
    <row r="113" spans="3:8" s="49" customFormat="1" x14ac:dyDescent="0.25">
      <c r="C113" s="52"/>
      <c r="E113" s="52"/>
      <c r="F113" s="52"/>
      <c r="G113" s="52"/>
      <c r="H113" s="56"/>
    </row>
    <row r="114" spans="3:8" s="49" customFormat="1" x14ac:dyDescent="0.25">
      <c r="C114" s="52"/>
      <c r="E114" s="52"/>
      <c r="F114" s="52"/>
      <c r="G114" s="52"/>
      <c r="H114" s="56"/>
    </row>
    <row r="115" spans="3:8" s="49" customFormat="1" x14ac:dyDescent="0.25">
      <c r="C115" s="52"/>
      <c r="E115" s="52"/>
      <c r="F115" s="52"/>
      <c r="G115" s="52"/>
      <c r="H115" s="56"/>
    </row>
    <row r="116" spans="3:8" s="49" customFormat="1" x14ac:dyDescent="0.25">
      <c r="C116" s="52"/>
      <c r="E116" s="52"/>
      <c r="F116" s="52"/>
      <c r="G116" s="52"/>
      <c r="H116" s="56"/>
    </row>
    <row r="117" spans="3:8" s="49" customFormat="1" x14ac:dyDescent="0.25">
      <c r="C117" s="52"/>
      <c r="E117" s="52"/>
      <c r="F117" s="52"/>
      <c r="G117" s="52"/>
      <c r="H117" s="56"/>
    </row>
    <row r="118" spans="3:8" s="49" customFormat="1" x14ac:dyDescent="0.25">
      <c r="C118" s="52"/>
      <c r="E118" s="52"/>
      <c r="F118" s="52"/>
      <c r="G118" s="52"/>
      <c r="H118" s="56"/>
    </row>
    <row r="119" spans="3:8" s="49" customFormat="1" x14ac:dyDescent="0.25">
      <c r="C119" s="52"/>
      <c r="E119" s="52"/>
      <c r="F119" s="52"/>
      <c r="G119" s="52"/>
      <c r="H119" s="56"/>
    </row>
    <row r="120" spans="3:8" s="49" customFormat="1" x14ac:dyDescent="0.25">
      <c r="C120" s="52"/>
      <c r="E120" s="52"/>
      <c r="F120" s="52"/>
      <c r="G120" s="52"/>
      <c r="H120" s="56"/>
    </row>
    <row r="121" spans="3:8" s="49" customFormat="1" x14ac:dyDescent="0.25">
      <c r="C121" s="52"/>
      <c r="E121" s="52"/>
      <c r="F121" s="52"/>
      <c r="G121" s="52"/>
      <c r="H121" s="56"/>
    </row>
    <row r="122" spans="3:8" s="49" customFormat="1" x14ac:dyDescent="0.25">
      <c r="C122" s="52"/>
      <c r="E122" s="52"/>
      <c r="F122" s="52"/>
      <c r="G122" s="52"/>
      <c r="H122" s="56"/>
    </row>
    <row r="123" spans="3:8" s="49" customFormat="1" x14ac:dyDescent="0.25">
      <c r="C123" s="52"/>
      <c r="E123" s="52"/>
      <c r="F123" s="52"/>
      <c r="G123" s="52"/>
      <c r="H123" s="56"/>
    </row>
    <row r="124" spans="3:8" s="49" customFormat="1" x14ac:dyDescent="0.25">
      <c r="C124" s="52"/>
      <c r="E124" s="52"/>
      <c r="F124" s="52"/>
      <c r="G124" s="52"/>
      <c r="H124" s="56"/>
    </row>
    <row r="125" spans="3:8" s="49" customFormat="1" x14ac:dyDescent="0.25">
      <c r="C125" s="52"/>
      <c r="E125" s="52"/>
      <c r="F125" s="52"/>
      <c r="G125" s="52"/>
      <c r="H125" s="56"/>
    </row>
    <row r="126" spans="3:8" s="49" customFormat="1" x14ac:dyDescent="0.25">
      <c r="C126" s="52"/>
      <c r="E126" s="52"/>
      <c r="F126" s="52"/>
      <c r="G126" s="52"/>
      <c r="H126" s="56"/>
    </row>
    <row r="127" spans="3:8" s="49" customFormat="1" x14ac:dyDescent="0.25">
      <c r="C127" s="52"/>
      <c r="E127" s="52"/>
      <c r="F127" s="52"/>
      <c r="G127" s="52"/>
      <c r="H127" s="56"/>
    </row>
    <row r="128" spans="3:8" s="49" customFormat="1" x14ac:dyDescent="0.25">
      <c r="C128" s="52"/>
      <c r="E128" s="52"/>
      <c r="F128" s="52"/>
      <c r="G128" s="52"/>
      <c r="H128" s="56"/>
    </row>
    <row r="129" spans="3:8" s="49" customFormat="1" x14ac:dyDescent="0.25">
      <c r="C129" s="52"/>
      <c r="E129" s="52"/>
      <c r="F129" s="52"/>
      <c r="G129" s="52"/>
      <c r="H129" s="56"/>
    </row>
    <row r="130" spans="3:8" s="49" customFormat="1" x14ac:dyDescent="0.25">
      <c r="C130" s="52"/>
      <c r="E130" s="52"/>
      <c r="F130" s="52"/>
      <c r="G130" s="52"/>
      <c r="H130" s="56"/>
    </row>
    <row r="131" spans="3:8" s="49" customFormat="1" x14ac:dyDescent="0.25">
      <c r="C131" s="52"/>
      <c r="E131" s="52"/>
      <c r="F131" s="52"/>
      <c r="G131" s="52"/>
      <c r="H131" s="56"/>
    </row>
    <row r="132" spans="3:8" s="49" customFormat="1" x14ac:dyDescent="0.25">
      <c r="C132" s="52"/>
      <c r="E132" s="52"/>
      <c r="F132" s="52"/>
      <c r="G132" s="52"/>
      <c r="H132" s="56"/>
    </row>
    <row r="133" spans="3:8" s="49" customFormat="1" x14ac:dyDescent="0.25">
      <c r="C133" s="52"/>
      <c r="E133" s="52"/>
      <c r="F133" s="52"/>
      <c r="G133" s="52"/>
      <c r="H133" s="56"/>
    </row>
    <row r="134" spans="3:8" s="49" customFormat="1" x14ac:dyDescent="0.25">
      <c r="C134" s="52"/>
      <c r="E134" s="52"/>
      <c r="F134" s="52"/>
      <c r="G134" s="52"/>
      <c r="H134" s="56"/>
    </row>
    <row r="135" spans="3:8" x14ac:dyDescent="0.25">
      <c r="D135" s="49"/>
    </row>
    <row r="136" spans="3:8" x14ac:dyDescent="0.25">
      <c r="D136" s="49"/>
    </row>
  </sheetData>
  <mergeCells count="7">
    <mergeCell ref="A1:H1"/>
    <mergeCell ref="E2:G2"/>
    <mergeCell ref="H2:H4"/>
    <mergeCell ref="E3:E4"/>
    <mergeCell ref="F3:F4"/>
    <mergeCell ref="G3:G4"/>
    <mergeCell ref="B4:D4"/>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Combined Efforts</vt:lpstr>
      <vt:lpstr>Feature Listing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Jigar Modi</dc:creator>
  <cp:lastModifiedBy>Jigar Modi</cp:lastModifiedBy>
  <dcterms:created xsi:type="dcterms:W3CDTF">2015-06-05T18:17:20Z</dcterms:created>
  <dcterms:modified xsi:type="dcterms:W3CDTF">2025-11-14T08:41:49Z</dcterms:modified>
</cp:coreProperties>
</file>